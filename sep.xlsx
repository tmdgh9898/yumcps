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esktop\2025 9,10,11 월간보고\"/>
    </mc:Choice>
  </mc:AlternateContent>
  <xr:revisionPtr revIDLastSave="0" documentId="13_ncr:1_{D3387DEF-48C2-44F0-8EE1-A5EC86C0FBCD}" xr6:coauthVersionLast="36" xr6:coauthVersionMax="47" xr10:uidLastSave="{00000000-0000-0000-0000-000000000000}"/>
  <bookViews>
    <workbookView xWindow="75" yWindow="0" windowWidth="17070" windowHeight="15480" activeTab="5" xr2:uid="{00000000-000D-0000-FFFF-FFFF00000000}"/>
  </bookViews>
  <sheets>
    <sheet name="9월" sheetId="3" r:id="rId1"/>
    <sheet name="10월" sheetId="4" r:id="rId2"/>
    <sheet name="11월" sheetId="9" r:id="rId3"/>
    <sheet name="수술분류" sheetId="5" r:id="rId4"/>
    <sheet name="퇴원 환자 수" sheetId="6" r:id="rId5"/>
    <sheet name="응급실 환자 수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" i="8" l="1"/>
  <c r="F5" i="8"/>
  <c r="E5" i="8"/>
  <c r="K20" i="6" l="1"/>
  <c r="K21" i="6"/>
  <c r="K19" i="6"/>
  <c r="K6" i="6"/>
  <c r="K7" i="6"/>
  <c r="K8" i="6"/>
  <c r="K5" i="6"/>
  <c r="J21" i="6"/>
  <c r="J20" i="6"/>
  <c r="J8" i="6"/>
  <c r="J7" i="6"/>
  <c r="J6" i="6"/>
  <c r="L5" i="5"/>
  <c r="L8" i="5"/>
  <c r="L10" i="5"/>
  <c r="L9" i="5"/>
  <c r="L2" i="5"/>
  <c r="J19" i="6" l="1"/>
  <c r="J5" i="6"/>
  <c r="G24" i="6" l="1"/>
  <c r="D9" i="6"/>
  <c r="D18" i="6"/>
  <c r="E18" i="6" s="1"/>
  <c r="E16" i="6"/>
  <c r="E17" i="6"/>
  <c r="E5" i="6"/>
  <c r="E6" i="6"/>
  <c r="E7" i="6"/>
  <c r="E8" i="6"/>
  <c r="E4" i="6"/>
  <c r="E4" i="8"/>
  <c r="F4" i="8" s="1"/>
  <c r="F13" i="5"/>
  <c r="G3" i="5"/>
  <c r="G4" i="5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G12" i="5"/>
  <c r="G2" i="5"/>
  <c r="C18" i="6"/>
  <c r="B18" i="6"/>
  <c r="C9" i="6"/>
  <c r="B9" i="6"/>
  <c r="H12" i="5" l="1"/>
  <c r="L12" i="5"/>
  <c r="H11" i="5"/>
  <c r="L11" i="5"/>
  <c r="H3" i="5"/>
  <c r="L3" i="5"/>
  <c r="H4" i="5"/>
  <c r="L4" i="5"/>
  <c r="E9" i="6"/>
  <c r="G12" i="6" s="1"/>
  <c r="D13" i="5"/>
  <c r="E13" i="5"/>
  <c r="G13" i="5" l="1"/>
</calcChain>
</file>

<file path=xl/sharedStrings.xml><?xml version="1.0" encoding="utf-8"?>
<sst xmlns="http://schemas.openxmlformats.org/spreadsheetml/2006/main" count="321" uniqueCount="146">
  <si>
    <t>김용하 교수님</t>
    <phoneticPr fontId="1" type="noConversion"/>
  </si>
  <si>
    <t>General</t>
    <phoneticPr fontId="1" type="noConversion"/>
  </si>
  <si>
    <t>Local</t>
    <phoneticPr fontId="1" type="noConversion"/>
  </si>
  <si>
    <t>입원 환자</t>
    <phoneticPr fontId="1" type="noConversion"/>
  </si>
  <si>
    <t>BPB</t>
    <phoneticPr fontId="1" type="noConversion"/>
  </si>
  <si>
    <t>Local</t>
    <phoneticPr fontId="1" type="noConversion"/>
  </si>
  <si>
    <t>BPB</t>
    <phoneticPr fontId="1" type="noConversion"/>
  </si>
  <si>
    <t>김태곤 교수님</t>
    <phoneticPr fontId="1" type="noConversion"/>
  </si>
  <si>
    <t>외래 환자</t>
  </si>
  <si>
    <t>일반 진료</t>
  </si>
  <si>
    <t>응급실 환자</t>
  </si>
  <si>
    <t>CASE</t>
    <phoneticPr fontId="1" type="noConversion"/>
  </si>
  <si>
    <t>이준호 교수님</t>
    <phoneticPr fontId="1" type="noConversion"/>
  </si>
  <si>
    <t>DTI</t>
    <phoneticPr fontId="1" type="noConversion"/>
  </si>
  <si>
    <t>ZF</t>
    <phoneticPr fontId="1" type="noConversion"/>
  </si>
  <si>
    <t>NBF</t>
    <phoneticPr fontId="1" type="noConversion"/>
  </si>
  <si>
    <t>Skin graft</t>
    <phoneticPr fontId="1" type="noConversion"/>
  </si>
  <si>
    <t>FF</t>
    <phoneticPr fontId="1" type="noConversion"/>
  </si>
  <si>
    <t>2-5. 분야별 수술 및 시술 건수:</t>
    <phoneticPr fontId="1" type="noConversion"/>
  </si>
  <si>
    <t>두경부 - 선천기형</t>
    <phoneticPr fontId="1" type="noConversion"/>
  </si>
  <si>
    <t xml:space="preserve">■ ① 0-18건 
□ ② 19건 이상 </t>
    <phoneticPr fontId="1" type="noConversion"/>
  </si>
  <si>
    <t>(0.1점) 
(0.2점)</t>
    <phoneticPr fontId="1" type="noConversion"/>
  </si>
  <si>
    <t>두경부 - 종양</t>
    <phoneticPr fontId="1" type="noConversion"/>
  </si>
  <si>
    <t>두경부 - 외상, 감염 및 기타</t>
    <phoneticPr fontId="1" type="noConversion"/>
  </si>
  <si>
    <t>유방, 체간 및 하지 - 선천기형</t>
    <phoneticPr fontId="1" type="noConversion"/>
  </si>
  <si>
    <t>유방, 체간 및 하지 - 종양</t>
    <phoneticPr fontId="1" type="noConversion"/>
  </si>
  <si>
    <t>유방, 체간 및 하지 - 외상, 감염 및 기타</t>
    <phoneticPr fontId="1" type="noConversion"/>
  </si>
  <si>
    <t>수부 및 상지 - 선천기형</t>
    <phoneticPr fontId="1" type="noConversion"/>
  </si>
  <si>
    <t>수부 및 상지 - 종양</t>
    <phoneticPr fontId="1" type="noConversion"/>
  </si>
  <si>
    <t>수부 및 상지 - 외상, 감염 및 기타</t>
    <phoneticPr fontId="1" type="noConversion"/>
  </si>
  <si>
    <t xml:space="preserve">■ ① 0-117건 
□ ② 118건 이상 </t>
    <phoneticPr fontId="1" type="noConversion"/>
  </si>
  <si>
    <t>피부종양</t>
    <phoneticPr fontId="1" type="noConversion"/>
  </si>
  <si>
    <t>미용</t>
    <phoneticPr fontId="1" type="noConversion"/>
  </si>
  <si>
    <t>담당교수</t>
    <phoneticPr fontId="1" type="noConversion"/>
  </si>
  <si>
    <t>합계</t>
    <phoneticPr fontId="1" type="noConversion"/>
  </si>
  <si>
    <t>김용하</t>
  </si>
  <si>
    <t>김태곤</t>
  </si>
  <si>
    <t>이준호</t>
  </si>
  <si>
    <t>구분</t>
    <phoneticPr fontId="1" type="noConversion"/>
  </si>
  <si>
    <t>초진</t>
    <phoneticPr fontId="1" type="noConversion"/>
  </si>
  <si>
    <t>재진</t>
    <phoneticPr fontId="1" type="noConversion"/>
  </si>
  <si>
    <t>합계</t>
    <phoneticPr fontId="1" type="noConversion"/>
  </si>
  <si>
    <t>□ ③ 351 ~ 400명</t>
    <phoneticPr fontId="1" type="noConversion"/>
  </si>
  <si>
    <t xml:space="preserve">□ ② 300 ~ 350명 </t>
    <phoneticPr fontId="1" type="noConversion"/>
  </si>
  <si>
    <t>□ ① 300명 미만</t>
    <phoneticPr fontId="1" type="noConversion"/>
  </si>
  <si>
    <t>□ ④ 401 ~ 450명</t>
    <phoneticPr fontId="1" type="noConversion"/>
  </si>
  <si>
    <t>□ ⑤ 451명 이상</t>
    <phoneticPr fontId="1" type="noConversion"/>
  </si>
  <si>
    <t>기준</t>
    <phoneticPr fontId="1" type="noConversion"/>
  </si>
  <si>
    <t>환산 n 수</t>
    <phoneticPr fontId="1" type="noConversion"/>
  </si>
  <si>
    <t>교수별 합계</t>
    <phoneticPr fontId="1" type="noConversion"/>
  </si>
  <si>
    <t>월별 합계</t>
    <phoneticPr fontId="1" type="noConversion"/>
  </si>
  <si>
    <t>항목별 합계</t>
    <phoneticPr fontId="1" type="noConversion"/>
  </si>
  <si>
    <t>점수</t>
    <phoneticPr fontId="1" type="noConversion"/>
  </si>
  <si>
    <t>□ ⑥ 6501명 이상</t>
    <phoneticPr fontId="1" type="noConversion"/>
  </si>
  <si>
    <t>□ ⑤ 5501~6500명</t>
    <phoneticPr fontId="1" type="noConversion"/>
  </si>
  <si>
    <t>□ ④ 4501~5500명</t>
    <phoneticPr fontId="1" type="noConversion"/>
  </si>
  <si>
    <t>□ ③ 3501~4500명</t>
    <phoneticPr fontId="1" type="noConversion"/>
  </si>
  <si>
    <t>□ ② 2500~3500명</t>
    <phoneticPr fontId="1" type="noConversion"/>
  </si>
  <si>
    <t>해당 기준</t>
    <phoneticPr fontId="1" type="noConversion"/>
  </si>
  <si>
    <t>0점</t>
    <phoneticPr fontId="1" type="noConversion"/>
  </si>
  <si>
    <t>2점</t>
    <phoneticPr fontId="1" type="noConversion"/>
  </si>
  <si>
    <t>4점</t>
    <phoneticPr fontId="1" type="noConversion"/>
  </si>
  <si>
    <t>6점</t>
    <phoneticPr fontId="1" type="noConversion"/>
  </si>
  <si>
    <t>8점</t>
    <phoneticPr fontId="1" type="noConversion"/>
  </si>
  <si>
    <t>4점</t>
    <phoneticPr fontId="1" type="noConversion"/>
  </si>
  <si>
    <t>6점</t>
    <phoneticPr fontId="1" type="noConversion"/>
  </si>
  <si>
    <t>7점</t>
    <phoneticPr fontId="1" type="noConversion"/>
  </si>
  <si>
    <t>Excision &amp; Biopsy</t>
    <phoneticPr fontId="1" type="noConversion"/>
  </si>
  <si>
    <t>Debridement &amp; wound closure</t>
    <phoneticPr fontId="1" type="noConversion"/>
  </si>
  <si>
    <t>BOF</t>
    <phoneticPr fontId="1" type="noConversion"/>
  </si>
  <si>
    <t>Local flap</t>
    <phoneticPr fontId="1" type="noConversion"/>
  </si>
  <si>
    <t xml:space="preserve">■ ① 0-101건 
□ ② 102건 이상 </t>
    <phoneticPr fontId="1" type="noConversion"/>
  </si>
  <si>
    <t xml:space="preserve">■ ① 0-304건 
□ ② 305건 이상 </t>
    <phoneticPr fontId="1" type="noConversion"/>
  </si>
  <si>
    <t xml:space="preserve">■ ① 0-1건 
□ ② 2건 이상 </t>
    <phoneticPr fontId="1" type="noConversion"/>
  </si>
  <si>
    <t xml:space="preserve">■ ① 0-23건 
□ ② 24건 이상 </t>
    <phoneticPr fontId="1" type="noConversion"/>
  </si>
  <si>
    <t xml:space="preserve">■ ① 0-205건 
□ ② 206건 이상 </t>
    <phoneticPr fontId="1" type="noConversion"/>
  </si>
  <si>
    <t>ㅇ</t>
    <phoneticPr fontId="1" type="noConversion"/>
  </si>
  <si>
    <t>응급실 1차 봉합술
(전공의 1명당)</t>
    <phoneticPr fontId="1" type="noConversion"/>
  </si>
  <si>
    <t>□ ① 0-24건
□ ②25-49건, 
■ ③ 50건이상</t>
    <phoneticPr fontId="1" type="noConversion"/>
  </si>
  <si>
    <t>(0점) 
(0.5점) 
(1점)</t>
    <phoneticPr fontId="1" type="noConversion"/>
  </si>
  <si>
    <t>I &amp; D</t>
    <phoneticPr fontId="1" type="noConversion"/>
  </si>
  <si>
    <t>Scar revision</t>
    <phoneticPr fontId="1" type="noConversion"/>
  </si>
  <si>
    <t>김일국 교수님</t>
    <phoneticPr fontId="1" type="noConversion"/>
  </si>
  <si>
    <t>LVA</t>
    <phoneticPr fontId="1" type="noConversion"/>
  </si>
  <si>
    <t>Reduction mammoplasty</t>
    <phoneticPr fontId="1" type="noConversion"/>
  </si>
  <si>
    <t>11월</t>
    <phoneticPr fontId="1" type="noConversion"/>
  </si>
  <si>
    <t>김일국</t>
    <phoneticPr fontId="1" type="noConversion"/>
  </si>
  <si>
    <t>FF</t>
    <phoneticPr fontId="1" type="noConversion"/>
  </si>
  <si>
    <t>Excision &amp; Biopsy</t>
    <phoneticPr fontId="1" type="noConversion"/>
  </si>
  <si>
    <t xml:space="preserve">Wound closure </t>
    <phoneticPr fontId="1" type="noConversion"/>
  </si>
  <si>
    <t>2025 외래 환자 수</t>
    <phoneticPr fontId="1" type="noConversion"/>
  </si>
  <si>
    <t>9월</t>
    <phoneticPr fontId="1" type="noConversion"/>
  </si>
  <si>
    <t>10월</t>
    <phoneticPr fontId="1" type="noConversion"/>
  </si>
  <si>
    <t>2025 응급실 환자 수</t>
    <phoneticPr fontId="1" type="noConversion"/>
  </si>
  <si>
    <t>김성은</t>
    <phoneticPr fontId="1" type="noConversion"/>
  </si>
  <si>
    <t>450명 미만</t>
    <phoneticPr fontId="1" type="noConversion"/>
  </si>
  <si>
    <t>451 ~ 525명</t>
    <phoneticPr fontId="1" type="noConversion"/>
  </si>
  <si>
    <t>526 ~ 600명</t>
    <phoneticPr fontId="1" type="noConversion"/>
  </si>
  <si>
    <t>601 ~ 675명</t>
    <phoneticPr fontId="1" type="noConversion"/>
  </si>
  <si>
    <t>676명 이상</t>
    <phoneticPr fontId="1" type="noConversion"/>
  </si>
  <si>
    <t>3750~5250</t>
    <phoneticPr fontId="1" type="noConversion"/>
  </si>
  <si>
    <t>5251~6750</t>
    <phoneticPr fontId="1" type="noConversion"/>
  </si>
  <si>
    <t>6751~8250</t>
    <phoneticPr fontId="1" type="noConversion"/>
  </si>
  <si>
    <t>8251~9750</t>
    <phoneticPr fontId="1" type="noConversion"/>
  </si>
  <si>
    <t>□ ① 2500명 미만</t>
    <phoneticPr fontId="1" type="noConversion"/>
  </si>
  <si>
    <t>2025 퇴원 (퇴원 + 전출)</t>
    <phoneticPr fontId="1" type="noConversion"/>
  </si>
  <si>
    <t>김성은 교수님</t>
    <phoneticPr fontId="1" type="noConversion"/>
  </si>
  <si>
    <t>BOF + Frontal sinus fx.</t>
    <phoneticPr fontId="1" type="noConversion"/>
  </si>
  <si>
    <t>BOF + ZF</t>
    <phoneticPr fontId="1" type="noConversion"/>
  </si>
  <si>
    <t>BOF + NBF</t>
    <phoneticPr fontId="1" type="noConversion"/>
  </si>
  <si>
    <t>Implant change</t>
    <phoneticPr fontId="1" type="noConversion"/>
  </si>
  <si>
    <t>Explantation</t>
    <phoneticPr fontId="1" type="noConversion"/>
  </si>
  <si>
    <t>Liposuction</t>
    <phoneticPr fontId="1" type="noConversion"/>
  </si>
  <si>
    <t>I&amp;D</t>
    <phoneticPr fontId="1" type="noConversion"/>
  </si>
  <si>
    <t>Removal of hematoma</t>
    <phoneticPr fontId="1" type="noConversion"/>
  </si>
  <si>
    <t>Wide excsion &amp; Wound closure</t>
    <phoneticPr fontId="1" type="noConversion"/>
  </si>
  <si>
    <t>Excision &amp; biopsy</t>
    <phoneticPr fontId="1" type="noConversion"/>
  </si>
  <si>
    <t>Wide excision &amp; Direct closure</t>
    <phoneticPr fontId="1" type="noConversion"/>
  </si>
  <si>
    <t>Expander removal &amp; Implant insertion</t>
    <phoneticPr fontId="1" type="noConversion"/>
  </si>
  <si>
    <t>Osmidrosis</t>
    <phoneticPr fontId="1" type="noConversion"/>
  </si>
  <si>
    <t>pTRAM</t>
    <phoneticPr fontId="1" type="noConversion"/>
  </si>
  <si>
    <t>MAC</t>
    <phoneticPr fontId="1" type="noConversion"/>
  </si>
  <si>
    <t>RFFF</t>
    <phoneticPr fontId="1" type="noConversion"/>
  </si>
  <si>
    <t>Fibular FF</t>
    <phoneticPr fontId="1" type="noConversion"/>
  </si>
  <si>
    <t>Debri &amp; wound closure</t>
    <phoneticPr fontId="1" type="noConversion"/>
  </si>
  <si>
    <t>Hematoma removal</t>
    <phoneticPr fontId="1" type="noConversion"/>
  </si>
  <si>
    <t>Removal of plates and screws</t>
  </si>
  <si>
    <t>Removal of TE</t>
    <phoneticPr fontId="1" type="noConversion"/>
  </si>
  <si>
    <t>예상 수( X4 )</t>
    <phoneticPr fontId="1" type="noConversion"/>
  </si>
  <si>
    <t xml:space="preserve">■ ① 0-4건 
□ ② 5건 이상 </t>
    <phoneticPr fontId="1" type="noConversion"/>
  </si>
  <si>
    <t xml:space="preserve">□ ① 0-53건 
■ ② 54건 이상 </t>
    <phoneticPr fontId="1" type="noConversion"/>
  </si>
  <si>
    <t xml:space="preserve">■ ① 0-132건 
□ ② 133건 이상 </t>
    <phoneticPr fontId="1" type="noConversion"/>
  </si>
  <si>
    <t xml:space="preserve">□ ① 0-200건 
■ ② 201건 이상 </t>
    <phoneticPr fontId="1" type="noConversion"/>
  </si>
  <si>
    <t>예상 환자 수(X4)</t>
    <phoneticPr fontId="1" type="noConversion"/>
  </si>
  <si>
    <t>예상수(X4)</t>
    <phoneticPr fontId="1" type="noConversion"/>
  </si>
  <si>
    <t>이미경</t>
    <phoneticPr fontId="1" type="noConversion"/>
  </si>
  <si>
    <t>조재현</t>
    <phoneticPr fontId="1" type="noConversion"/>
  </si>
  <si>
    <t>한영희</t>
    <phoneticPr fontId="1" type="noConversion"/>
  </si>
  <si>
    <t>Wound closure</t>
    <phoneticPr fontId="1" type="noConversion"/>
  </si>
  <si>
    <t>Total capsulectomy &amp; implant change</t>
    <phoneticPr fontId="1" type="noConversion"/>
  </si>
  <si>
    <t>NEO fx. OR-IF + NBF</t>
    <phoneticPr fontId="1" type="noConversion"/>
  </si>
  <si>
    <t>3달간 필요한 건수</t>
    <phoneticPr fontId="1" type="noConversion"/>
  </si>
  <si>
    <t>3달간 필요한 환자수</t>
    <phoneticPr fontId="1" type="noConversion"/>
  </si>
  <si>
    <t xml:space="preserve"> </t>
    <phoneticPr fontId="1" type="noConversion"/>
  </si>
  <si>
    <t>필요한 한달 평균 환자수</t>
    <phoneticPr fontId="1" type="noConversion"/>
  </si>
  <si>
    <t>봉합술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</si>
</sst>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6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0" fillId="2" borderId="1" xfId="0" applyFill="1" applyBorder="1" applyAlignment="1" applyProtection="1">
      <alignment horizontal="right" vertical="center"/>
      <protection locked="0"/>
    </xf>
    <xf numFmtId="0" fontId="4" fillId="3" borderId="1" xfId="0" applyFont="1" applyFill="1" applyBorder="1" applyAlignment="1">
      <alignment horizontal="justify" vertical="center"/>
    </xf>
    <xf numFmtId="0" fontId="4" fillId="3" borderId="3" xfId="0" applyFont="1" applyFill="1" applyBorder="1" applyAlignment="1">
      <alignment horizontal="right" vertical="center"/>
    </xf>
    <xf numFmtId="0" fontId="0" fillId="2" borderId="3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justify" vertical="center"/>
    </xf>
    <xf numFmtId="0" fontId="4" fillId="3" borderId="5" xfId="0" applyFont="1" applyFill="1" applyBorder="1" applyAlignment="1">
      <alignment horizontal="justify" vertical="center"/>
    </xf>
    <xf numFmtId="0" fontId="4" fillId="3" borderId="6" xfId="0" applyFont="1" applyFill="1" applyBorder="1" applyAlignment="1">
      <alignment horizontal="justify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10" borderId="1" xfId="0" applyFont="1" applyFill="1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 wrapText="1"/>
    </xf>
    <xf numFmtId="0" fontId="0" fillId="11" borderId="3" xfId="0" applyFill="1" applyBorder="1" applyAlignment="1" applyProtection="1">
      <alignment horizontal="center" vertical="center"/>
      <protection locked="0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2" fillId="2" borderId="9" xfId="0" applyFont="1" applyFill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2" borderId="20" xfId="0" applyFill="1" applyBorder="1" applyAlignment="1" applyProtection="1">
      <alignment horizontal="center" vertical="center"/>
      <protection locked="0"/>
    </xf>
    <xf numFmtId="0" fontId="4" fillId="3" borderId="26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opLeftCell="A19" zoomScaleNormal="100" workbookViewId="0">
      <selection activeCell="J41" sqref="J41"/>
    </sheetView>
  </sheetViews>
  <sheetFormatPr defaultRowHeight="16.5" x14ac:dyDescent="0.3"/>
  <cols>
    <col min="1" max="1" width="52.875" style="1" customWidth="1"/>
    <col min="2" max="2" width="3.5" style="1" bestFit="1" customWidth="1"/>
    <col min="3" max="3" width="43.5" style="1" customWidth="1"/>
    <col min="4" max="4" width="5.25" style="1" bestFit="1" customWidth="1"/>
    <col min="5" max="5" width="33.125" customWidth="1"/>
    <col min="6" max="6" width="3.875" customWidth="1"/>
    <col min="8" max="8" width="4.75" customWidth="1"/>
    <col min="10" max="10" width="6.25" customWidth="1"/>
    <col min="11" max="11" width="13.5" style="5" customWidth="1"/>
    <col min="12" max="12" width="11.375" style="5" customWidth="1"/>
  </cols>
  <sheetData>
    <row r="1" spans="1:11" x14ac:dyDescent="0.3">
      <c r="A1" s="7" t="s">
        <v>91</v>
      </c>
      <c r="E1" s="1"/>
      <c r="F1" s="1"/>
      <c r="G1" s="1"/>
      <c r="H1" s="1"/>
    </row>
    <row r="2" spans="1:11" ht="17.25" thickBot="1" x14ac:dyDescent="0.35">
      <c r="A2" s="1" t="s">
        <v>0</v>
      </c>
      <c r="E2" s="1"/>
      <c r="F2" s="1"/>
      <c r="G2" s="1"/>
      <c r="H2" s="1"/>
      <c r="I2" s="1"/>
      <c r="J2" s="1"/>
      <c r="K2" s="5" t="s">
        <v>11</v>
      </c>
    </row>
    <row r="3" spans="1:11" ht="17.25" thickBot="1" x14ac:dyDescent="0.35">
      <c r="A3" s="2" t="s">
        <v>1</v>
      </c>
      <c r="B3" s="3">
        <v>8</v>
      </c>
      <c r="C3" s="2" t="s">
        <v>5</v>
      </c>
      <c r="D3" s="3">
        <v>0</v>
      </c>
      <c r="E3" s="2" t="s">
        <v>6</v>
      </c>
      <c r="F3" s="3">
        <v>0</v>
      </c>
      <c r="G3" s="2" t="s">
        <v>3</v>
      </c>
      <c r="H3" s="3">
        <v>4</v>
      </c>
      <c r="I3" s="2" t="s">
        <v>8</v>
      </c>
      <c r="J3" s="3">
        <v>104</v>
      </c>
    </row>
    <row r="4" spans="1:11" x14ac:dyDescent="0.3">
      <c r="A4" s="1" t="s">
        <v>15</v>
      </c>
      <c r="B4" s="1">
        <v>1</v>
      </c>
      <c r="E4" s="1"/>
      <c r="F4" s="1"/>
      <c r="G4" s="1"/>
      <c r="H4" s="1"/>
      <c r="I4" s="1"/>
      <c r="J4" s="1"/>
    </row>
    <row r="5" spans="1:11" x14ac:dyDescent="0.3">
      <c r="A5" s="1" t="s">
        <v>69</v>
      </c>
      <c r="B5" s="1">
        <v>5</v>
      </c>
      <c r="E5" s="1"/>
      <c r="F5" s="1"/>
      <c r="G5" s="1"/>
      <c r="H5" s="1"/>
      <c r="I5" s="1"/>
      <c r="J5" s="1"/>
    </row>
    <row r="6" spans="1:11" x14ac:dyDescent="0.3">
      <c r="A6" s="1" t="s">
        <v>107</v>
      </c>
      <c r="B6" s="1">
        <v>1</v>
      </c>
      <c r="E6" s="1"/>
      <c r="F6" s="1"/>
      <c r="G6" s="1"/>
      <c r="H6" s="1"/>
      <c r="I6" s="1"/>
      <c r="J6" s="1"/>
      <c r="K6" s="6"/>
    </row>
    <row r="7" spans="1:11" x14ac:dyDescent="0.3">
      <c r="A7" s="1" t="s">
        <v>14</v>
      </c>
      <c r="B7" s="1">
        <v>1</v>
      </c>
      <c r="E7" s="1"/>
      <c r="F7" s="1"/>
      <c r="G7" s="1"/>
      <c r="H7" s="1"/>
      <c r="I7" s="1"/>
      <c r="J7" s="1"/>
      <c r="K7" s="6"/>
    </row>
    <row r="8" spans="1:11" x14ac:dyDescent="0.3">
      <c r="E8" s="1"/>
      <c r="F8" s="1"/>
      <c r="G8" s="1"/>
      <c r="H8" s="1"/>
      <c r="I8" s="1"/>
      <c r="J8" s="1"/>
      <c r="K8" s="6"/>
    </row>
    <row r="9" spans="1:11" ht="17.25" thickBot="1" x14ac:dyDescent="0.35">
      <c r="A9" s="1" t="s">
        <v>7</v>
      </c>
      <c r="E9" s="1"/>
      <c r="F9" s="1"/>
      <c r="G9" s="1"/>
      <c r="H9" s="1"/>
      <c r="I9" s="1"/>
      <c r="J9" s="1"/>
    </row>
    <row r="10" spans="1:11" ht="17.25" thickBot="1" x14ac:dyDescent="0.35">
      <c r="A10" s="2" t="s">
        <v>1</v>
      </c>
      <c r="B10" s="3">
        <v>6</v>
      </c>
      <c r="C10" s="2" t="s">
        <v>2</v>
      </c>
      <c r="D10" s="3">
        <v>7</v>
      </c>
      <c r="E10" s="2" t="s">
        <v>4</v>
      </c>
      <c r="F10" s="3">
        <v>0</v>
      </c>
      <c r="G10" s="2" t="s">
        <v>3</v>
      </c>
      <c r="H10" s="3">
        <v>5</v>
      </c>
      <c r="I10" s="2" t="s">
        <v>8</v>
      </c>
      <c r="J10" s="3">
        <v>58</v>
      </c>
    </row>
    <row r="11" spans="1:11" x14ac:dyDescent="0.3">
      <c r="A11" s="1" t="s">
        <v>87</v>
      </c>
      <c r="B11" s="1">
        <v>2</v>
      </c>
      <c r="C11" s="1" t="s">
        <v>16</v>
      </c>
      <c r="D11" s="1">
        <v>4</v>
      </c>
      <c r="E11" s="1"/>
      <c r="F11" s="1"/>
      <c r="G11" s="1"/>
      <c r="H11" s="1"/>
      <c r="I11" s="1"/>
      <c r="J11" s="1"/>
    </row>
    <row r="12" spans="1:11" x14ac:dyDescent="0.3">
      <c r="A12" s="1" t="s">
        <v>70</v>
      </c>
      <c r="B12" s="1">
        <v>1</v>
      </c>
      <c r="C12" s="1" t="s">
        <v>80</v>
      </c>
      <c r="D12" s="1">
        <v>2</v>
      </c>
      <c r="E12" s="1"/>
      <c r="F12" s="1"/>
      <c r="G12" s="1"/>
      <c r="H12" s="1"/>
      <c r="I12" s="1"/>
      <c r="J12" s="1"/>
    </row>
    <row r="13" spans="1:11" x14ac:dyDescent="0.3">
      <c r="A13" s="1" t="s">
        <v>138</v>
      </c>
      <c r="B13" s="1">
        <v>2</v>
      </c>
      <c r="C13" s="1" t="s">
        <v>138</v>
      </c>
      <c r="D13" s="1">
        <v>1</v>
      </c>
      <c r="E13" s="1"/>
      <c r="F13" s="1"/>
      <c r="G13" s="1"/>
      <c r="H13" s="1"/>
      <c r="I13" s="1"/>
      <c r="J13" s="1"/>
    </row>
    <row r="14" spans="1:11" x14ac:dyDescent="0.3">
      <c r="A14" s="1" t="s">
        <v>16</v>
      </c>
      <c r="B14" s="1">
        <v>1</v>
      </c>
      <c r="E14" s="1"/>
      <c r="F14" s="1"/>
      <c r="H14" s="1"/>
      <c r="I14" s="1"/>
      <c r="J14" s="1"/>
    </row>
    <row r="15" spans="1:11" x14ac:dyDescent="0.3">
      <c r="H15" s="1"/>
      <c r="I15" s="1"/>
      <c r="J15" s="1"/>
    </row>
    <row r="16" spans="1:11" ht="17.25" thickBot="1" x14ac:dyDescent="0.35">
      <c r="A16" s="1" t="s">
        <v>12</v>
      </c>
      <c r="E16" s="1"/>
      <c r="F16" s="1"/>
      <c r="G16" s="1"/>
      <c r="H16" s="1"/>
      <c r="I16" s="1"/>
      <c r="J16" s="1"/>
    </row>
    <row r="17" spans="1:11" ht="17.25" thickBot="1" x14ac:dyDescent="0.35">
      <c r="A17" s="2" t="s">
        <v>1</v>
      </c>
      <c r="B17" s="3">
        <v>16</v>
      </c>
      <c r="C17" s="2" t="s">
        <v>2</v>
      </c>
      <c r="D17" s="3">
        <v>13</v>
      </c>
      <c r="E17" s="2" t="s">
        <v>4</v>
      </c>
      <c r="F17" s="3">
        <v>0</v>
      </c>
      <c r="G17" s="2" t="s">
        <v>3</v>
      </c>
      <c r="H17" s="3">
        <v>21</v>
      </c>
      <c r="I17" s="2" t="s">
        <v>8</v>
      </c>
      <c r="J17" s="3">
        <v>165</v>
      </c>
      <c r="K17" s="5" t="s">
        <v>135</v>
      </c>
    </row>
    <row r="18" spans="1:11" x14ac:dyDescent="0.3">
      <c r="A18" s="1" t="s">
        <v>13</v>
      </c>
      <c r="B18" s="1">
        <v>11</v>
      </c>
      <c r="C18" s="1" t="s">
        <v>89</v>
      </c>
      <c r="D18" s="1">
        <v>10</v>
      </c>
      <c r="E18" s="1"/>
      <c r="F18" s="1"/>
      <c r="G18" s="1"/>
      <c r="H18" s="1"/>
      <c r="I18" s="1"/>
      <c r="J18" s="1"/>
    </row>
    <row r="19" spans="1:11" x14ac:dyDescent="0.3">
      <c r="A19" s="1" t="s">
        <v>110</v>
      </c>
      <c r="B19" s="1">
        <v>2</v>
      </c>
      <c r="C19" s="1" t="s">
        <v>80</v>
      </c>
      <c r="D19" s="1">
        <v>2</v>
      </c>
      <c r="E19" s="1"/>
      <c r="F19" s="1"/>
      <c r="G19" s="1"/>
      <c r="H19" s="1"/>
      <c r="I19" s="1"/>
      <c r="J19" s="1"/>
    </row>
    <row r="20" spans="1:11" x14ac:dyDescent="0.3">
      <c r="A20" s="1" t="s">
        <v>111</v>
      </c>
      <c r="B20" s="1">
        <v>3</v>
      </c>
      <c r="C20" s="1" t="s">
        <v>110</v>
      </c>
      <c r="D20" s="1">
        <v>1</v>
      </c>
      <c r="E20" s="1"/>
      <c r="F20" s="1"/>
      <c r="G20" s="1"/>
      <c r="H20" s="1"/>
      <c r="I20" s="1"/>
      <c r="J20" s="1"/>
    </row>
    <row r="21" spans="1:11" x14ac:dyDescent="0.3">
      <c r="E21" s="1"/>
      <c r="F21" s="1"/>
      <c r="G21" s="1"/>
      <c r="H21" s="1"/>
      <c r="I21" s="1"/>
      <c r="J21" s="1"/>
    </row>
    <row r="22" spans="1:11" x14ac:dyDescent="0.3">
      <c r="C22"/>
    </row>
    <row r="23" spans="1:11" x14ac:dyDescent="0.3">
      <c r="C23"/>
    </row>
    <row r="24" spans="1:11" ht="17.25" thickBot="1" x14ac:dyDescent="0.35">
      <c r="A24" s="1" t="s">
        <v>82</v>
      </c>
      <c r="E24" s="1"/>
      <c r="F24" s="1"/>
      <c r="G24" s="1"/>
      <c r="H24" s="1"/>
      <c r="I24" s="1"/>
      <c r="J24" s="1"/>
    </row>
    <row r="25" spans="1:11" ht="17.25" thickBot="1" x14ac:dyDescent="0.35">
      <c r="A25" s="2" t="s">
        <v>1</v>
      </c>
      <c r="B25" s="3">
        <v>11</v>
      </c>
      <c r="C25" s="2" t="s">
        <v>2</v>
      </c>
      <c r="D25" s="3">
        <v>14</v>
      </c>
      <c r="E25" s="2" t="s">
        <v>4</v>
      </c>
      <c r="F25" s="3">
        <v>0</v>
      </c>
      <c r="G25" s="2" t="s">
        <v>3</v>
      </c>
      <c r="H25" s="3">
        <v>15</v>
      </c>
      <c r="I25" s="2" t="s">
        <v>8</v>
      </c>
      <c r="J25" s="3">
        <v>105</v>
      </c>
    </row>
    <row r="26" spans="1:11" x14ac:dyDescent="0.3">
      <c r="A26" s="1" t="s">
        <v>15</v>
      </c>
      <c r="B26" s="1">
        <v>7</v>
      </c>
      <c r="C26" s="1" t="s">
        <v>88</v>
      </c>
      <c r="D26" s="1">
        <v>8</v>
      </c>
      <c r="E26" s="1"/>
      <c r="F26" s="1"/>
      <c r="G26" s="1"/>
      <c r="H26" s="1"/>
      <c r="I26" s="1"/>
      <c r="J26" s="1"/>
    </row>
    <row r="27" spans="1:11" x14ac:dyDescent="0.3">
      <c r="A27" s="1" t="s">
        <v>14</v>
      </c>
      <c r="B27" s="1">
        <v>2</v>
      </c>
      <c r="C27" s="1" t="s">
        <v>83</v>
      </c>
      <c r="D27" s="1">
        <v>4</v>
      </c>
      <c r="E27" s="1"/>
      <c r="F27" s="1"/>
      <c r="G27" s="1"/>
      <c r="H27" s="1"/>
      <c r="I27" s="1"/>
      <c r="J27" s="1"/>
    </row>
    <row r="28" spans="1:11" x14ac:dyDescent="0.3">
      <c r="A28" s="1" t="s">
        <v>67</v>
      </c>
      <c r="B28" s="1">
        <v>1</v>
      </c>
      <c r="C28" s="1" t="s">
        <v>112</v>
      </c>
      <c r="D28" s="1">
        <v>2</v>
      </c>
      <c r="E28" s="1"/>
      <c r="F28" s="1"/>
      <c r="G28" s="1"/>
      <c r="H28" s="1"/>
      <c r="I28" s="1"/>
      <c r="J28" s="1"/>
    </row>
    <row r="29" spans="1:11" x14ac:dyDescent="0.3">
      <c r="A29" s="1" t="s">
        <v>70</v>
      </c>
      <c r="B29" s="1">
        <v>1</v>
      </c>
      <c r="G29" s="1"/>
      <c r="H29" s="1"/>
      <c r="I29" s="1"/>
      <c r="J29" s="1"/>
    </row>
    <row r="30" spans="1:11" x14ac:dyDescent="0.3">
      <c r="E30" s="1"/>
      <c r="F30" s="1"/>
      <c r="G30" s="1"/>
      <c r="H30" s="1"/>
      <c r="I30" s="1"/>
      <c r="J30" s="1"/>
    </row>
    <row r="31" spans="1:11" x14ac:dyDescent="0.3">
      <c r="E31" s="1"/>
      <c r="F31" s="1"/>
      <c r="G31" s="1"/>
      <c r="H31" s="1"/>
      <c r="I31" s="1"/>
      <c r="J31" s="1"/>
    </row>
    <row r="32" spans="1:11" ht="17.25" thickBot="1" x14ac:dyDescent="0.35">
      <c r="A32" s="1" t="s">
        <v>106</v>
      </c>
      <c r="E32" s="1"/>
      <c r="F32" s="1"/>
      <c r="G32" s="1"/>
      <c r="H32" s="1"/>
      <c r="I32" s="1"/>
      <c r="J32" s="1"/>
    </row>
    <row r="33" spans="1:10" ht="17.25" thickBot="1" x14ac:dyDescent="0.35">
      <c r="A33" s="2" t="s">
        <v>1</v>
      </c>
      <c r="B33" s="3">
        <v>5</v>
      </c>
      <c r="C33" s="2" t="s">
        <v>2</v>
      </c>
      <c r="D33" s="3">
        <v>5</v>
      </c>
      <c r="E33" s="2" t="s">
        <v>4</v>
      </c>
      <c r="F33" s="3">
        <v>0</v>
      </c>
      <c r="G33" s="2" t="s">
        <v>3</v>
      </c>
      <c r="H33" s="3">
        <v>3</v>
      </c>
      <c r="I33" s="2" t="s">
        <v>8</v>
      </c>
      <c r="J33" s="3">
        <v>36</v>
      </c>
    </row>
    <row r="34" spans="1:10" x14ac:dyDescent="0.3">
      <c r="A34" s="1" t="s">
        <v>17</v>
      </c>
      <c r="B34" s="1">
        <v>1</v>
      </c>
      <c r="C34" s="1" t="s">
        <v>113</v>
      </c>
      <c r="D34" s="1">
        <v>1</v>
      </c>
      <c r="E34" s="1"/>
      <c r="F34" s="1"/>
      <c r="G34" s="1"/>
      <c r="H34" s="1"/>
      <c r="I34" s="1"/>
      <c r="J34" s="1"/>
    </row>
    <row r="35" spans="1:10" x14ac:dyDescent="0.3">
      <c r="A35" s="1" t="s">
        <v>70</v>
      </c>
      <c r="B35" s="1">
        <v>1</v>
      </c>
      <c r="C35" s="1" t="s">
        <v>115</v>
      </c>
      <c r="D35" s="1">
        <v>1</v>
      </c>
      <c r="E35" s="1"/>
      <c r="F35" s="1"/>
      <c r="G35" s="1"/>
      <c r="H35" s="1"/>
      <c r="I35" s="1"/>
      <c r="J35" s="1"/>
    </row>
    <row r="36" spans="1:10" x14ac:dyDescent="0.3">
      <c r="A36" s="1" t="s">
        <v>114</v>
      </c>
      <c r="B36" s="1">
        <v>1</v>
      </c>
      <c r="C36" s="1" t="s">
        <v>116</v>
      </c>
      <c r="D36" s="1">
        <v>2</v>
      </c>
      <c r="E36" s="1"/>
      <c r="F36" s="1"/>
      <c r="G36" s="1"/>
      <c r="H36" s="1"/>
      <c r="I36" s="1"/>
      <c r="J36" s="1"/>
    </row>
    <row r="37" spans="1:10" x14ac:dyDescent="0.3">
      <c r="A37" s="1" t="s">
        <v>16</v>
      </c>
      <c r="B37" s="1">
        <v>1</v>
      </c>
      <c r="C37" s="1" t="s">
        <v>138</v>
      </c>
      <c r="D37" s="1">
        <v>1</v>
      </c>
      <c r="E37" s="1"/>
      <c r="F37" s="1"/>
      <c r="G37" s="1"/>
      <c r="H37" s="1"/>
      <c r="I37" s="1"/>
      <c r="J37" s="1"/>
    </row>
    <row r="38" spans="1:10" x14ac:dyDescent="0.3">
      <c r="A38" s="1" t="s">
        <v>81</v>
      </c>
      <c r="B38" s="1">
        <v>1</v>
      </c>
      <c r="E38" s="1"/>
      <c r="F38" s="1"/>
      <c r="G38" s="1"/>
      <c r="H38" s="1"/>
      <c r="I38" s="1"/>
      <c r="J38" s="1"/>
    </row>
    <row r="39" spans="1:10" x14ac:dyDescent="0.3">
      <c r="E39" s="1"/>
      <c r="F39" s="1"/>
      <c r="G39" s="1"/>
      <c r="H39" s="1"/>
      <c r="I39" s="1"/>
      <c r="J39" s="1"/>
    </row>
    <row r="41" spans="1:10" x14ac:dyDescent="0.3">
      <c r="A41" s="1" t="s">
        <v>10</v>
      </c>
      <c r="B41" s="3">
        <v>18</v>
      </c>
      <c r="E41" s="1"/>
      <c r="F41" s="1"/>
      <c r="G41" s="1"/>
      <c r="H41" s="1"/>
      <c r="I41" s="1" t="s">
        <v>9</v>
      </c>
      <c r="J41" s="3">
        <v>55</v>
      </c>
    </row>
    <row r="46" spans="1:10" x14ac:dyDescent="0.3">
      <c r="E46" s="1"/>
      <c r="F46" s="1"/>
      <c r="G46" s="1"/>
      <c r="H46" s="1"/>
      <c r="I46" s="1"/>
      <c r="J46" s="1"/>
    </row>
    <row r="47" spans="1:10" x14ac:dyDescent="0.3">
      <c r="E47" s="1"/>
      <c r="F47" s="1"/>
      <c r="G47" s="1"/>
      <c r="H47" s="1"/>
      <c r="I47" s="1"/>
      <c r="J47" s="1"/>
    </row>
    <row r="48" spans="1:10" x14ac:dyDescent="0.3">
      <c r="E48" s="1"/>
      <c r="F48" s="1"/>
      <c r="G48" s="1"/>
      <c r="H48" s="1"/>
      <c r="I48" s="1"/>
      <c r="J48" s="1"/>
    </row>
    <row r="49" spans="1:10" x14ac:dyDescent="0.3">
      <c r="E49" s="1"/>
      <c r="F49" s="1"/>
      <c r="G49" s="1"/>
      <c r="H49" s="1"/>
      <c r="I49" s="1"/>
      <c r="J49" s="1"/>
    </row>
    <row r="50" spans="1:10" x14ac:dyDescent="0.3">
      <c r="E50" s="1"/>
      <c r="F50" s="1"/>
      <c r="G50" s="1"/>
      <c r="H50" s="1"/>
      <c r="I50" s="1"/>
      <c r="J50" s="1"/>
    </row>
    <row r="51" spans="1:10" x14ac:dyDescent="0.3">
      <c r="A51" s="4"/>
      <c r="E51" s="1"/>
      <c r="F51" s="1"/>
      <c r="G51" s="1"/>
      <c r="H51" s="1"/>
      <c r="I51" s="1"/>
      <c r="J51" s="1"/>
    </row>
    <row r="52" spans="1:10" x14ac:dyDescent="0.3">
      <c r="E52" s="1"/>
      <c r="F52" s="1"/>
      <c r="G52" s="1"/>
      <c r="H52" s="1"/>
      <c r="I52" s="1"/>
      <c r="J52" s="1"/>
    </row>
    <row r="53" spans="1:10" x14ac:dyDescent="0.3">
      <c r="E53" s="1"/>
      <c r="F53" s="1"/>
      <c r="G53" s="1"/>
      <c r="H53" s="1"/>
      <c r="I53" s="1"/>
      <c r="J53" s="1"/>
    </row>
    <row r="54" spans="1:10" x14ac:dyDescent="0.3">
      <c r="E54" s="1"/>
      <c r="F54" s="1"/>
      <c r="G54" s="1"/>
      <c r="H54" s="1"/>
      <c r="I54" s="1"/>
      <c r="J54" s="1"/>
    </row>
    <row r="55" spans="1:10" x14ac:dyDescent="0.3">
      <c r="E55" s="1"/>
      <c r="F55" s="1"/>
      <c r="G55" s="1"/>
      <c r="H55" s="1"/>
      <c r="I55" s="1"/>
      <c r="J55" s="1"/>
    </row>
    <row r="56" spans="1:10" x14ac:dyDescent="0.3">
      <c r="E56" s="1"/>
      <c r="F56" s="1"/>
      <c r="G56" s="1"/>
      <c r="H56" s="1"/>
      <c r="I56" s="1"/>
      <c r="J56" s="1"/>
    </row>
    <row r="57" spans="1:10" x14ac:dyDescent="0.3">
      <c r="E57" s="1"/>
      <c r="F57" s="1"/>
      <c r="G57" s="1"/>
      <c r="H57" s="1"/>
      <c r="I57" s="1"/>
      <c r="J5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5"/>
  <sheetViews>
    <sheetView topLeftCell="A14" zoomScale="85" zoomScaleNormal="85" workbookViewId="0">
      <selection activeCell="E45" sqref="E45"/>
    </sheetView>
  </sheetViews>
  <sheetFormatPr defaultRowHeight="16.5" x14ac:dyDescent="0.3"/>
  <cols>
    <col min="1" max="1" width="49.25" customWidth="1"/>
    <col min="2" max="2" width="3.5" style="1" bestFit="1" customWidth="1"/>
    <col min="3" max="3" width="46.875" customWidth="1"/>
    <col min="4" max="4" width="3.75" style="1" customWidth="1"/>
    <col min="5" max="5" width="42.625" customWidth="1"/>
    <col min="6" max="6" width="4.375" customWidth="1"/>
    <col min="8" max="8" width="4.75" customWidth="1"/>
    <col min="10" max="10" width="5.625" customWidth="1"/>
    <col min="11" max="11" width="8.75" style="5" customWidth="1"/>
    <col min="12" max="12" width="10" bestFit="1" customWidth="1"/>
  </cols>
  <sheetData>
    <row r="1" spans="1:11" x14ac:dyDescent="0.3">
      <c r="A1" s="7" t="s">
        <v>92</v>
      </c>
      <c r="C1" s="1"/>
      <c r="E1" s="1"/>
      <c r="F1" s="1"/>
      <c r="G1" s="1"/>
      <c r="H1" s="1"/>
    </row>
    <row r="2" spans="1:11" ht="17.25" thickBot="1" x14ac:dyDescent="0.35">
      <c r="A2" s="1" t="s">
        <v>0</v>
      </c>
      <c r="C2" s="1"/>
      <c r="E2" s="1"/>
      <c r="F2" s="1"/>
      <c r="G2" s="1"/>
      <c r="H2" s="1"/>
      <c r="I2" s="1"/>
      <c r="J2" s="1"/>
      <c r="K2" s="5" t="s">
        <v>11</v>
      </c>
    </row>
    <row r="3" spans="1:11" ht="17.25" thickBot="1" x14ac:dyDescent="0.35">
      <c r="A3" s="2" t="s">
        <v>1</v>
      </c>
      <c r="B3" s="3">
        <v>9</v>
      </c>
      <c r="C3" s="2" t="s">
        <v>5</v>
      </c>
      <c r="D3" s="3">
        <v>0</v>
      </c>
      <c r="E3" s="2" t="s">
        <v>6</v>
      </c>
      <c r="F3" s="3">
        <v>0</v>
      </c>
      <c r="G3" s="2" t="s">
        <v>3</v>
      </c>
      <c r="H3" s="3">
        <v>7</v>
      </c>
      <c r="I3" s="2" t="s">
        <v>8</v>
      </c>
      <c r="J3" s="3">
        <v>77</v>
      </c>
    </row>
    <row r="4" spans="1:11" x14ac:dyDescent="0.3">
      <c r="A4" s="1" t="s">
        <v>69</v>
      </c>
      <c r="B4" s="1">
        <v>7</v>
      </c>
      <c r="C4" s="1"/>
      <c r="E4" s="1"/>
      <c r="F4" s="1"/>
      <c r="G4" s="1"/>
      <c r="H4" s="1"/>
      <c r="I4" s="1"/>
      <c r="J4" s="1"/>
    </row>
    <row r="5" spans="1:11" x14ac:dyDescent="0.3">
      <c r="A5" s="1" t="s">
        <v>108</v>
      </c>
      <c r="B5" s="1">
        <v>1</v>
      </c>
      <c r="C5" s="1"/>
      <c r="E5" s="1"/>
      <c r="F5" s="1"/>
      <c r="G5" s="1"/>
      <c r="H5" s="1"/>
      <c r="I5" s="1"/>
      <c r="J5" s="1"/>
    </row>
    <row r="6" spans="1:11" x14ac:dyDescent="0.3">
      <c r="A6" s="1" t="s">
        <v>109</v>
      </c>
      <c r="B6" s="1">
        <v>1</v>
      </c>
      <c r="C6" s="1"/>
      <c r="E6" s="1"/>
      <c r="F6" s="1"/>
      <c r="G6" s="1"/>
      <c r="H6" s="1"/>
      <c r="I6" s="1"/>
      <c r="J6" s="1"/>
      <c r="K6" s="6"/>
    </row>
    <row r="7" spans="1:11" x14ac:dyDescent="0.3">
      <c r="A7" s="1"/>
      <c r="C7" s="1"/>
      <c r="E7" s="1"/>
      <c r="F7" s="1"/>
      <c r="G7" s="1"/>
      <c r="H7" s="1"/>
      <c r="I7" s="1"/>
      <c r="J7" s="1"/>
      <c r="K7" s="6"/>
    </row>
    <row r="8" spans="1:11" x14ac:dyDescent="0.3">
      <c r="A8" s="1"/>
      <c r="C8" s="1"/>
      <c r="E8" s="1"/>
      <c r="F8" s="1"/>
      <c r="G8" s="1"/>
      <c r="H8" s="1"/>
      <c r="I8" s="1"/>
      <c r="J8" s="1"/>
      <c r="K8" s="6"/>
    </row>
    <row r="9" spans="1:11" x14ac:dyDescent="0.3">
      <c r="A9" s="1"/>
      <c r="C9" s="1"/>
      <c r="E9" s="1"/>
      <c r="F9" s="1"/>
      <c r="G9" s="1"/>
      <c r="H9" s="1"/>
      <c r="I9" s="1"/>
      <c r="J9" s="1"/>
      <c r="K9" s="6"/>
    </row>
    <row r="10" spans="1:11" ht="17.25" thickBot="1" x14ac:dyDescent="0.35">
      <c r="A10" s="1" t="s">
        <v>7</v>
      </c>
      <c r="C10" s="1"/>
      <c r="E10" s="1"/>
      <c r="F10" s="1"/>
      <c r="G10" s="1"/>
      <c r="H10" s="1"/>
      <c r="I10" s="1"/>
      <c r="J10" s="1"/>
    </row>
    <row r="11" spans="1:11" ht="17.25" thickBot="1" x14ac:dyDescent="0.35">
      <c r="A11" s="2" t="s">
        <v>1</v>
      </c>
      <c r="B11" s="3">
        <v>3</v>
      </c>
      <c r="C11" s="2" t="s">
        <v>2</v>
      </c>
      <c r="D11" s="3">
        <v>9</v>
      </c>
      <c r="E11" s="2" t="s">
        <v>4</v>
      </c>
      <c r="F11" s="3">
        <v>0</v>
      </c>
      <c r="G11" s="2" t="s">
        <v>3</v>
      </c>
      <c r="H11" s="3">
        <v>3</v>
      </c>
      <c r="I11" s="2" t="s">
        <v>8</v>
      </c>
      <c r="J11" s="3">
        <v>46</v>
      </c>
      <c r="K11" s="6"/>
    </row>
    <row r="12" spans="1:11" x14ac:dyDescent="0.3">
      <c r="A12" s="1" t="s">
        <v>17</v>
      </c>
      <c r="B12" s="1">
        <v>2</v>
      </c>
      <c r="C12" s="1" t="s">
        <v>16</v>
      </c>
      <c r="D12" s="1">
        <v>1</v>
      </c>
      <c r="E12" s="1"/>
      <c r="F12" s="1"/>
      <c r="G12" s="1"/>
      <c r="H12" s="1"/>
      <c r="I12" s="1"/>
      <c r="J12" s="1"/>
    </row>
    <row r="13" spans="1:11" x14ac:dyDescent="0.3">
      <c r="A13" s="1" t="s">
        <v>138</v>
      </c>
      <c r="B13" s="1">
        <v>1</v>
      </c>
      <c r="C13" s="1" t="s">
        <v>80</v>
      </c>
      <c r="D13" s="1">
        <v>8</v>
      </c>
      <c r="E13" s="1"/>
      <c r="F13" s="1"/>
      <c r="G13" s="1"/>
      <c r="H13" s="1"/>
      <c r="I13" s="1"/>
      <c r="J13" s="1"/>
    </row>
    <row r="14" spans="1:11" x14ac:dyDescent="0.3">
      <c r="A14" s="1"/>
      <c r="C14" s="1"/>
      <c r="E14" s="1"/>
      <c r="F14" s="1"/>
      <c r="H14" s="1"/>
      <c r="I14" s="1"/>
      <c r="J14" s="1"/>
    </row>
    <row r="15" spans="1:11" x14ac:dyDescent="0.3">
      <c r="A15" s="1"/>
      <c r="C15" s="1"/>
      <c r="E15" s="1"/>
      <c r="F15" s="1"/>
      <c r="H15" s="1"/>
      <c r="I15" s="1"/>
      <c r="J15" s="1"/>
    </row>
    <row r="16" spans="1:11" x14ac:dyDescent="0.3">
      <c r="A16" s="1"/>
      <c r="E16" s="1"/>
      <c r="F16" s="1"/>
      <c r="H16" s="1"/>
      <c r="I16" s="1"/>
      <c r="J16" s="1"/>
    </row>
    <row r="17" spans="1:10" x14ac:dyDescent="0.3">
      <c r="C17" s="1"/>
      <c r="E17" s="1"/>
      <c r="F17" s="1"/>
      <c r="G17" s="1"/>
      <c r="H17" s="1"/>
      <c r="I17" s="1"/>
      <c r="J17" s="1"/>
    </row>
    <row r="18" spans="1:10" ht="17.25" thickBot="1" x14ac:dyDescent="0.35">
      <c r="A18" s="1" t="s">
        <v>12</v>
      </c>
      <c r="E18" s="1"/>
      <c r="F18" s="1"/>
      <c r="G18" s="1"/>
      <c r="H18" s="1"/>
      <c r="I18" s="1"/>
      <c r="J18" s="1"/>
    </row>
    <row r="19" spans="1:10" ht="17.25" thickBot="1" x14ac:dyDescent="0.35">
      <c r="A19" s="2" t="s">
        <v>1</v>
      </c>
      <c r="B19" s="3">
        <v>8</v>
      </c>
      <c r="C19" s="2" t="s">
        <v>2</v>
      </c>
      <c r="D19" s="3">
        <v>2</v>
      </c>
      <c r="E19" s="2" t="s">
        <v>121</v>
      </c>
      <c r="F19" s="3">
        <v>1</v>
      </c>
      <c r="G19" s="2" t="s">
        <v>3</v>
      </c>
      <c r="H19" s="3">
        <v>9</v>
      </c>
      <c r="I19" s="2" t="s">
        <v>8</v>
      </c>
      <c r="J19" s="3">
        <v>135</v>
      </c>
    </row>
    <row r="20" spans="1:10" x14ac:dyDescent="0.3">
      <c r="A20" s="1" t="s">
        <v>13</v>
      </c>
      <c r="B20" s="1">
        <v>4</v>
      </c>
      <c r="C20" s="1" t="s">
        <v>68</v>
      </c>
      <c r="D20" s="1">
        <v>1</v>
      </c>
      <c r="E20" s="1" t="s">
        <v>119</v>
      </c>
      <c r="F20" s="1"/>
      <c r="G20" s="1"/>
      <c r="H20" s="1"/>
      <c r="I20" s="1"/>
      <c r="J20" s="1"/>
    </row>
    <row r="21" spans="1:10" x14ac:dyDescent="0.3">
      <c r="A21" s="1" t="s">
        <v>139</v>
      </c>
      <c r="B21" s="1">
        <v>1</v>
      </c>
      <c r="C21" s="1" t="s">
        <v>16</v>
      </c>
      <c r="D21" s="1">
        <v>1</v>
      </c>
      <c r="E21" s="1"/>
      <c r="F21" s="1"/>
      <c r="G21" s="1"/>
      <c r="H21" s="1"/>
      <c r="I21" s="1"/>
      <c r="J21" s="1"/>
    </row>
    <row r="22" spans="1:10" x14ac:dyDescent="0.3">
      <c r="A22" s="1" t="s">
        <v>118</v>
      </c>
      <c r="B22" s="1">
        <v>1</v>
      </c>
      <c r="C22" s="1"/>
      <c r="E22" s="1"/>
      <c r="F22" s="1"/>
      <c r="G22" s="1"/>
      <c r="H22" s="1"/>
      <c r="I22" s="1"/>
      <c r="J22" s="1"/>
    </row>
    <row r="23" spans="1:10" x14ac:dyDescent="0.3">
      <c r="A23" s="1" t="s">
        <v>113</v>
      </c>
      <c r="B23" s="1">
        <v>2</v>
      </c>
      <c r="C23" s="1"/>
      <c r="E23" s="1"/>
      <c r="F23" s="1"/>
      <c r="G23" s="1"/>
      <c r="H23" s="1"/>
      <c r="I23" s="1"/>
      <c r="J23" s="1"/>
    </row>
    <row r="25" spans="1:10" x14ac:dyDescent="0.3">
      <c r="A25" s="1"/>
    </row>
    <row r="27" spans="1:10" ht="17.25" thickBot="1" x14ac:dyDescent="0.35">
      <c r="A27" s="1" t="s">
        <v>82</v>
      </c>
      <c r="C27" s="1"/>
      <c r="E27" s="1"/>
      <c r="F27" s="1"/>
      <c r="G27" s="1"/>
      <c r="H27" s="1"/>
      <c r="I27" s="1"/>
      <c r="J27" s="1"/>
    </row>
    <row r="28" spans="1:10" ht="17.25" thickBot="1" x14ac:dyDescent="0.35">
      <c r="A28" s="2" t="s">
        <v>1</v>
      </c>
      <c r="B28" s="3">
        <v>10</v>
      </c>
      <c r="C28" s="2" t="s">
        <v>2</v>
      </c>
      <c r="D28" s="3">
        <v>11</v>
      </c>
      <c r="E28" s="2" t="s">
        <v>4</v>
      </c>
      <c r="F28" s="3">
        <v>0</v>
      </c>
      <c r="G28" s="2" t="s">
        <v>3</v>
      </c>
      <c r="H28" s="3">
        <v>10</v>
      </c>
      <c r="I28" s="2" t="s">
        <v>8</v>
      </c>
      <c r="J28" s="3">
        <v>97</v>
      </c>
    </row>
    <row r="29" spans="1:10" x14ac:dyDescent="0.3">
      <c r="A29" s="1" t="s">
        <v>15</v>
      </c>
      <c r="B29" s="1">
        <v>5</v>
      </c>
      <c r="C29" s="1" t="s">
        <v>67</v>
      </c>
      <c r="D29" s="1">
        <v>9</v>
      </c>
      <c r="F29" s="1"/>
      <c r="G29" s="1"/>
      <c r="H29" s="1"/>
      <c r="I29" s="1"/>
      <c r="J29" s="1"/>
    </row>
    <row r="30" spans="1:10" x14ac:dyDescent="0.3">
      <c r="A30" s="1" t="s">
        <v>14</v>
      </c>
      <c r="B30" s="1">
        <v>1</v>
      </c>
      <c r="C30" s="1" t="s">
        <v>83</v>
      </c>
      <c r="D30" s="1">
        <v>1</v>
      </c>
      <c r="F30" s="1"/>
      <c r="G30" s="1"/>
      <c r="H30" s="1"/>
      <c r="I30" s="1"/>
      <c r="J30" s="1"/>
    </row>
    <row r="31" spans="1:10" x14ac:dyDescent="0.3">
      <c r="A31" s="1" t="s">
        <v>120</v>
      </c>
      <c r="B31" s="1">
        <v>2</v>
      </c>
      <c r="C31" s="1" t="s">
        <v>113</v>
      </c>
      <c r="D31" s="1">
        <v>1</v>
      </c>
      <c r="F31" s="1"/>
      <c r="G31" s="1"/>
      <c r="H31" s="1"/>
      <c r="I31" s="1"/>
      <c r="J31" s="1"/>
    </row>
    <row r="32" spans="1:10" x14ac:dyDescent="0.3">
      <c r="A32" s="1" t="s">
        <v>84</v>
      </c>
      <c r="B32" s="1">
        <v>1</v>
      </c>
      <c r="C32" s="1"/>
      <c r="F32" s="1"/>
      <c r="G32" s="1"/>
      <c r="H32" s="1"/>
      <c r="I32" s="1"/>
      <c r="J32" s="1"/>
    </row>
    <row r="33" spans="1:10" x14ac:dyDescent="0.3">
      <c r="A33" s="1" t="s">
        <v>70</v>
      </c>
      <c r="B33" s="1">
        <v>1</v>
      </c>
      <c r="C33" s="1"/>
      <c r="F33" s="1"/>
      <c r="G33" s="1"/>
      <c r="H33" s="1"/>
      <c r="I33" s="1"/>
      <c r="J33" s="1"/>
    </row>
    <row r="34" spans="1:10" x14ac:dyDescent="0.3">
      <c r="A34" s="1"/>
      <c r="C34" s="1"/>
      <c r="F34" s="1"/>
      <c r="G34" s="1"/>
      <c r="H34" s="1"/>
      <c r="I34" s="1"/>
      <c r="J34" s="1"/>
    </row>
    <row r="35" spans="1:10" x14ac:dyDescent="0.3">
      <c r="A35" s="1"/>
      <c r="C35" s="1"/>
    </row>
    <row r="36" spans="1:10" x14ac:dyDescent="0.3">
      <c r="C36" s="1"/>
      <c r="E36" s="1"/>
      <c r="F36" s="1"/>
      <c r="G36" s="1"/>
      <c r="H36" s="1"/>
      <c r="I36" s="1"/>
      <c r="J36" s="1"/>
    </row>
    <row r="37" spans="1:10" ht="17.25" thickBot="1" x14ac:dyDescent="0.35">
      <c r="A37" s="1" t="s">
        <v>106</v>
      </c>
      <c r="C37" s="1"/>
      <c r="E37" s="1"/>
      <c r="F37" s="1"/>
      <c r="G37" s="1"/>
      <c r="H37" s="1"/>
      <c r="I37" s="1"/>
      <c r="J37" s="1"/>
    </row>
    <row r="38" spans="1:10" ht="17.25" thickBot="1" x14ac:dyDescent="0.35">
      <c r="A38" s="2" t="s">
        <v>1</v>
      </c>
      <c r="B38" s="3">
        <v>3</v>
      </c>
      <c r="C38" s="2" t="s">
        <v>2</v>
      </c>
      <c r="D38" s="3">
        <v>7</v>
      </c>
      <c r="E38" s="2" t="s">
        <v>4</v>
      </c>
      <c r="F38" s="3">
        <v>0</v>
      </c>
      <c r="G38" s="2" t="s">
        <v>3</v>
      </c>
      <c r="H38" s="3">
        <v>1</v>
      </c>
      <c r="I38" s="2" t="s">
        <v>8</v>
      </c>
      <c r="J38" s="3">
        <v>60</v>
      </c>
    </row>
    <row r="39" spans="1:10" x14ac:dyDescent="0.3">
      <c r="A39" s="1" t="s">
        <v>70</v>
      </c>
      <c r="B39" s="1">
        <v>1</v>
      </c>
      <c r="C39" s="1" t="s">
        <v>67</v>
      </c>
      <c r="D39" s="1">
        <v>4</v>
      </c>
      <c r="E39" s="1"/>
      <c r="F39" s="1"/>
      <c r="G39" s="1"/>
      <c r="H39" s="1"/>
      <c r="I39" s="1"/>
      <c r="J39" s="1"/>
    </row>
    <row r="40" spans="1:10" x14ac:dyDescent="0.3">
      <c r="A40" s="1" t="s">
        <v>14</v>
      </c>
      <c r="B40" s="1">
        <v>1</v>
      </c>
      <c r="C40" s="1" t="s">
        <v>70</v>
      </c>
      <c r="D40" s="1">
        <v>1</v>
      </c>
    </row>
    <row r="41" spans="1:10" x14ac:dyDescent="0.3">
      <c r="A41" s="1" t="s">
        <v>17</v>
      </c>
      <c r="B41" s="1">
        <v>1</v>
      </c>
      <c r="C41" s="1" t="s">
        <v>117</v>
      </c>
      <c r="D41" s="1">
        <v>1</v>
      </c>
    </row>
    <row r="42" spans="1:10" x14ac:dyDescent="0.3">
      <c r="A42" s="1"/>
      <c r="C42" s="1" t="s">
        <v>16</v>
      </c>
      <c r="D42" s="1">
        <v>1</v>
      </c>
      <c r="E42" s="1"/>
      <c r="F42" s="1"/>
      <c r="G42" s="1"/>
      <c r="H42" s="1"/>
    </row>
    <row r="43" spans="1:10" x14ac:dyDescent="0.3">
      <c r="C43" s="1"/>
    </row>
    <row r="44" spans="1:10" x14ac:dyDescent="0.3">
      <c r="A44" s="1" t="s">
        <v>10</v>
      </c>
      <c r="B44" s="3">
        <v>56</v>
      </c>
      <c r="C44" s="1"/>
      <c r="E44" s="1"/>
      <c r="F44" s="1"/>
      <c r="G44" s="1"/>
      <c r="H44" s="1"/>
      <c r="I44" s="1" t="s">
        <v>9</v>
      </c>
      <c r="J44" s="3">
        <v>52</v>
      </c>
    </row>
    <row r="45" spans="1:10" x14ac:dyDescent="0.3">
      <c r="A45" s="1"/>
      <c r="C45" s="1"/>
      <c r="E45" s="1"/>
      <c r="F45" s="1"/>
      <c r="G45" s="1"/>
      <c r="H45" s="1"/>
    </row>
    <row r="46" spans="1:10" x14ac:dyDescent="0.3">
      <c r="A46" s="1"/>
      <c r="C46" s="1"/>
      <c r="E46" s="1"/>
      <c r="F46" s="1"/>
      <c r="G46" s="1"/>
      <c r="H46" s="1"/>
    </row>
    <row r="47" spans="1:10" x14ac:dyDescent="0.3">
      <c r="A47" s="1"/>
      <c r="C47" s="1"/>
      <c r="E47" s="1"/>
      <c r="F47" s="1"/>
      <c r="G47" s="1"/>
      <c r="H47" s="1"/>
    </row>
    <row r="54" spans="1:10" x14ac:dyDescent="0.3">
      <c r="A54" s="1"/>
      <c r="C54" s="1"/>
      <c r="E54" s="1"/>
      <c r="F54" s="1"/>
      <c r="G54" s="1"/>
      <c r="H54" s="1"/>
      <c r="I54" s="1"/>
      <c r="J54" s="1"/>
    </row>
    <row r="55" spans="1:10" x14ac:dyDescent="0.3">
      <c r="A55" s="1"/>
      <c r="C55" s="1"/>
      <c r="E55" s="1"/>
      <c r="F55" s="1"/>
      <c r="G55" s="1"/>
      <c r="H55" s="1"/>
      <c r="I55" s="1"/>
      <c r="J55" s="1"/>
    </row>
    <row r="56" spans="1:10" x14ac:dyDescent="0.3">
      <c r="A56" s="1"/>
      <c r="C56" s="1"/>
      <c r="E56" s="1"/>
      <c r="F56" s="1"/>
      <c r="G56" s="1"/>
      <c r="H56" s="1"/>
      <c r="I56" s="1"/>
      <c r="J56" s="1"/>
    </row>
    <row r="57" spans="1:10" x14ac:dyDescent="0.3">
      <c r="A57" s="1"/>
      <c r="C57" s="1"/>
      <c r="E57" s="1"/>
      <c r="F57" s="1"/>
      <c r="G57" s="1"/>
      <c r="H57" s="1"/>
      <c r="I57" s="1"/>
      <c r="J57" s="1"/>
    </row>
    <row r="58" spans="1:10" x14ac:dyDescent="0.3">
      <c r="A58" s="1"/>
      <c r="C58" s="1"/>
      <c r="E58" s="1"/>
      <c r="F58" s="1"/>
      <c r="G58" s="1"/>
      <c r="H58" s="1"/>
      <c r="I58" s="1"/>
      <c r="J58" s="1"/>
    </row>
    <row r="59" spans="1:10" x14ac:dyDescent="0.3">
      <c r="A59" s="4"/>
      <c r="C59" s="1"/>
      <c r="E59" s="1"/>
      <c r="F59" s="1"/>
      <c r="G59" s="1"/>
      <c r="H59" s="1"/>
      <c r="I59" s="1"/>
      <c r="J59" s="1"/>
    </row>
    <row r="60" spans="1:10" x14ac:dyDescent="0.3">
      <c r="A60" s="1"/>
      <c r="C60" s="1"/>
      <c r="E60" s="1"/>
      <c r="F60" s="1"/>
      <c r="G60" s="1"/>
      <c r="H60" s="1"/>
      <c r="I60" s="1"/>
      <c r="J60" s="1"/>
    </row>
    <row r="61" spans="1:10" x14ac:dyDescent="0.3">
      <c r="A61" s="1"/>
      <c r="C61" s="1"/>
      <c r="E61" s="1"/>
      <c r="F61" s="1"/>
      <c r="G61" s="1"/>
      <c r="H61" s="1"/>
      <c r="I61" s="1"/>
      <c r="J61" s="1"/>
    </row>
    <row r="62" spans="1:10" x14ac:dyDescent="0.3">
      <c r="A62" s="1"/>
      <c r="C62" s="1"/>
      <c r="E62" s="1"/>
      <c r="F62" s="1"/>
      <c r="G62" s="1"/>
      <c r="H62" s="1"/>
      <c r="I62" s="1"/>
      <c r="J62" s="1"/>
    </row>
    <row r="63" spans="1:10" x14ac:dyDescent="0.3">
      <c r="A63" s="1"/>
      <c r="C63" s="1"/>
      <c r="E63" s="1"/>
      <c r="F63" s="1"/>
      <c r="G63" s="1"/>
      <c r="H63" s="1"/>
      <c r="I63" s="1"/>
      <c r="J63" s="1"/>
    </row>
    <row r="64" spans="1:10" x14ac:dyDescent="0.3">
      <c r="A64" s="1"/>
      <c r="C64" s="1"/>
      <c r="E64" s="1"/>
      <c r="F64" s="1"/>
      <c r="G64" s="1"/>
      <c r="H64" s="1"/>
      <c r="I64" s="1"/>
      <c r="J64" s="1"/>
    </row>
    <row r="65" spans="1:10" x14ac:dyDescent="0.3">
      <c r="A65" s="1"/>
      <c r="C65" s="1"/>
      <c r="E65" s="1"/>
      <c r="F65" s="1"/>
      <c r="G65" s="1"/>
      <c r="H65" s="1"/>
      <c r="I65" s="1"/>
      <c r="J6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A637A-1AAC-4D5F-B8C2-E724C36747E9}">
  <dimension ref="A1:K65"/>
  <sheetViews>
    <sheetView topLeftCell="A13" zoomScale="70" zoomScaleNormal="70" workbookViewId="0">
      <selection activeCell="C49" sqref="C49"/>
    </sheetView>
  </sheetViews>
  <sheetFormatPr defaultRowHeight="16.5" x14ac:dyDescent="0.3"/>
  <cols>
    <col min="1" max="1" width="49.25" customWidth="1"/>
    <col min="2" max="2" width="3.5" style="1" bestFit="1" customWidth="1"/>
    <col min="3" max="3" width="46.875" customWidth="1"/>
    <col min="4" max="4" width="3.75" style="1" customWidth="1"/>
    <col min="5" max="5" width="42.625" customWidth="1"/>
    <col min="6" max="6" width="4.375" customWidth="1"/>
    <col min="8" max="8" width="4.75" customWidth="1"/>
    <col min="10" max="10" width="5.625" customWidth="1"/>
    <col min="11" max="11" width="8.75" style="5" customWidth="1"/>
    <col min="12" max="12" width="10" bestFit="1" customWidth="1"/>
  </cols>
  <sheetData>
    <row r="1" spans="1:11" x14ac:dyDescent="0.3">
      <c r="A1" s="7" t="s">
        <v>85</v>
      </c>
      <c r="C1" s="1"/>
      <c r="E1" s="1"/>
      <c r="F1" s="1"/>
      <c r="G1" s="1"/>
      <c r="H1" s="1"/>
    </row>
    <row r="2" spans="1:11" ht="17.25" thickBot="1" x14ac:dyDescent="0.35">
      <c r="A2" s="1" t="s">
        <v>0</v>
      </c>
      <c r="C2" s="1"/>
      <c r="E2" s="1"/>
      <c r="F2" s="1"/>
      <c r="G2" s="1"/>
      <c r="H2" s="1"/>
      <c r="I2" s="1"/>
      <c r="J2" s="1"/>
      <c r="K2" s="5" t="s">
        <v>11</v>
      </c>
    </row>
    <row r="3" spans="1:11" ht="17.25" thickBot="1" x14ac:dyDescent="0.35">
      <c r="A3" s="2" t="s">
        <v>1</v>
      </c>
      <c r="B3" s="3">
        <v>0</v>
      </c>
      <c r="C3" s="2" t="s">
        <v>2</v>
      </c>
      <c r="D3" s="3">
        <v>0</v>
      </c>
      <c r="E3" s="2" t="s">
        <v>4</v>
      </c>
      <c r="F3" s="3">
        <v>0</v>
      </c>
      <c r="G3" s="2" t="s">
        <v>3</v>
      </c>
      <c r="H3" s="3">
        <v>0</v>
      </c>
      <c r="I3" s="2" t="s">
        <v>8</v>
      </c>
      <c r="J3" s="3">
        <v>50</v>
      </c>
    </row>
    <row r="4" spans="1:11" x14ac:dyDescent="0.3">
      <c r="A4" s="1"/>
      <c r="C4" s="1"/>
      <c r="E4" s="1"/>
      <c r="F4" s="1"/>
      <c r="G4" s="1"/>
      <c r="H4" s="1"/>
      <c r="I4" s="1"/>
      <c r="J4" s="1"/>
    </row>
    <row r="5" spans="1:11" x14ac:dyDescent="0.3">
      <c r="A5" s="1"/>
      <c r="C5" s="1"/>
      <c r="E5" s="1"/>
      <c r="F5" s="1"/>
      <c r="G5" s="1"/>
      <c r="H5" s="1"/>
      <c r="I5" s="1"/>
      <c r="J5" s="1"/>
    </row>
    <row r="6" spans="1:11" x14ac:dyDescent="0.3">
      <c r="A6" s="1"/>
      <c r="C6" s="1"/>
      <c r="E6" s="1"/>
      <c r="F6" s="1"/>
      <c r="G6" s="1"/>
      <c r="H6" s="1"/>
      <c r="I6" s="1"/>
      <c r="J6" s="1"/>
      <c r="K6" s="6"/>
    </row>
    <row r="7" spans="1:11" x14ac:dyDescent="0.3">
      <c r="A7" s="1"/>
      <c r="C7" s="1"/>
      <c r="E7" s="1"/>
      <c r="F7" s="1"/>
      <c r="G7" s="1"/>
      <c r="H7" s="1"/>
      <c r="I7" s="1"/>
      <c r="J7" s="1"/>
      <c r="K7" s="6"/>
    </row>
    <row r="8" spans="1:11" x14ac:dyDescent="0.3">
      <c r="A8" s="1"/>
      <c r="C8" s="1"/>
      <c r="E8" s="1"/>
      <c r="F8" s="1"/>
      <c r="G8" s="1"/>
      <c r="H8" s="1"/>
      <c r="I8" s="1"/>
      <c r="J8" s="1"/>
      <c r="K8" s="6"/>
    </row>
    <row r="9" spans="1:11" x14ac:dyDescent="0.3">
      <c r="A9" s="1"/>
      <c r="C9" s="1"/>
      <c r="E9" s="1"/>
      <c r="F9" s="1"/>
      <c r="G9" s="1"/>
      <c r="H9" s="1"/>
      <c r="I9" s="1"/>
      <c r="J9" s="1"/>
      <c r="K9" s="6"/>
    </row>
    <row r="10" spans="1:11" ht="17.25" thickBot="1" x14ac:dyDescent="0.35">
      <c r="A10" s="1" t="s">
        <v>7</v>
      </c>
      <c r="C10" s="1"/>
      <c r="E10" s="1"/>
      <c r="F10" s="1"/>
      <c r="G10" s="1"/>
      <c r="H10" s="1"/>
      <c r="I10" s="1"/>
      <c r="J10" s="1"/>
    </row>
    <row r="11" spans="1:11" ht="17.25" thickBot="1" x14ac:dyDescent="0.35">
      <c r="A11" s="2" t="s">
        <v>1</v>
      </c>
      <c r="B11" s="3">
        <v>4</v>
      </c>
      <c r="C11" s="2" t="s">
        <v>2</v>
      </c>
      <c r="D11" s="3">
        <v>7</v>
      </c>
      <c r="E11" s="2" t="s">
        <v>4</v>
      </c>
      <c r="F11" s="3">
        <v>0</v>
      </c>
      <c r="G11" s="2" t="s">
        <v>3</v>
      </c>
      <c r="H11" s="3">
        <v>1</v>
      </c>
      <c r="I11" s="2" t="s">
        <v>8</v>
      </c>
      <c r="J11" s="3">
        <v>55</v>
      </c>
      <c r="K11" s="6"/>
    </row>
    <row r="12" spans="1:11" x14ac:dyDescent="0.3">
      <c r="A12" s="1" t="s">
        <v>17</v>
      </c>
      <c r="B12" s="1">
        <v>2</v>
      </c>
      <c r="C12" s="1" t="s">
        <v>80</v>
      </c>
      <c r="D12" s="1">
        <v>5</v>
      </c>
      <c r="E12" s="1"/>
      <c r="F12" s="1"/>
      <c r="G12" s="1"/>
      <c r="H12" s="1"/>
      <c r="I12" s="1"/>
      <c r="J12" s="1"/>
    </row>
    <row r="13" spans="1:11" x14ac:dyDescent="0.3">
      <c r="A13" s="1" t="s">
        <v>70</v>
      </c>
      <c r="B13" s="1">
        <v>1</v>
      </c>
      <c r="C13" s="1" t="s">
        <v>124</v>
      </c>
      <c r="D13" s="1">
        <v>1</v>
      </c>
      <c r="E13" s="1"/>
      <c r="F13" s="1"/>
      <c r="G13" s="1"/>
      <c r="H13" s="1"/>
      <c r="I13" s="1"/>
      <c r="J13" s="1"/>
    </row>
    <row r="14" spans="1:11" x14ac:dyDescent="0.3">
      <c r="A14" s="1" t="s">
        <v>16</v>
      </c>
      <c r="B14" s="1">
        <v>1</v>
      </c>
      <c r="C14" s="1" t="s">
        <v>70</v>
      </c>
      <c r="D14" s="1">
        <v>1</v>
      </c>
      <c r="E14" s="1"/>
      <c r="F14" s="1"/>
      <c r="H14" s="1"/>
      <c r="I14" s="1"/>
      <c r="J14" s="1"/>
    </row>
    <row r="15" spans="1:11" x14ac:dyDescent="0.3">
      <c r="A15" s="1"/>
      <c r="C15" s="1"/>
      <c r="E15" s="1"/>
      <c r="F15" s="1"/>
      <c r="H15" s="1"/>
      <c r="I15" s="1"/>
      <c r="J15" s="1"/>
    </row>
    <row r="16" spans="1:11" x14ac:dyDescent="0.3">
      <c r="A16" s="1"/>
      <c r="E16" s="1"/>
      <c r="F16" s="1"/>
      <c r="H16" s="1"/>
      <c r="I16" s="1"/>
      <c r="J16" s="1"/>
    </row>
    <row r="17" spans="1:10" x14ac:dyDescent="0.3">
      <c r="C17" s="1"/>
      <c r="E17" s="1"/>
      <c r="F17" s="1"/>
      <c r="G17" s="1"/>
      <c r="H17" s="1"/>
      <c r="I17" s="1"/>
      <c r="J17" s="1"/>
    </row>
    <row r="18" spans="1:10" ht="17.25" thickBot="1" x14ac:dyDescent="0.35">
      <c r="A18" s="1" t="s">
        <v>12</v>
      </c>
      <c r="E18" s="1"/>
      <c r="F18" s="1"/>
      <c r="G18" s="1"/>
      <c r="H18" s="1"/>
      <c r="I18" s="1"/>
      <c r="J18" s="1"/>
    </row>
    <row r="19" spans="1:10" ht="17.25" thickBot="1" x14ac:dyDescent="0.35">
      <c r="A19" s="2" t="s">
        <v>1</v>
      </c>
      <c r="B19" s="3">
        <v>15</v>
      </c>
      <c r="C19" s="2" t="s">
        <v>2</v>
      </c>
      <c r="D19" s="3">
        <v>4</v>
      </c>
      <c r="E19" s="2" t="s">
        <v>121</v>
      </c>
      <c r="F19" s="3">
        <v>0</v>
      </c>
      <c r="G19" s="2" t="s">
        <v>3</v>
      </c>
      <c r="H19" s="3">
        <v>6</v>
      </c>
      <c r="I19" s="2" t="s">
        <v>8</v>
      </c>
      <c r="J19" s="3">
        <v>124</v>
      </c>
    </row>
    <row r="20" spans="1:10" x14ac:dyDescent="0.3">
      <c r="A20" s="1" t="s">
        <v>13</v>
      </c>
      <c r="B20" s="1">
        <v>10</v>
      </c>
      <c r="C20" s="1" t="s">
        <v>80</v>
      </c>
      <c r="D20" s="1">
        <v>3</v>
      </c>
      <c r="E20" s="1"/>
      <c r="F20" s="1"/>
      <c r="G20" s="1"/>
      <c r="H20" s="1"/>
      <c r="I20" s="1"/>
      <c r="J20" s="1"/>
    </row>
    <row r="21" spans="1:10" x14ac:dyDescent="0.3">
      <c r="A21" s="1" t="s">
        <v>118</v>
      </c>
      <c r="B21" s="1">
        <v>1</v>
      </c>
      <c r="C21" s="1" t="s">
        <v>16</v>
      </c>
      <c r="D21" s="1">
        <v>1</v>
      </c>
      <c r="E21" s="1"/>
      <c r="F21" s="1"/>
      <c r="G21" s="1"/>
      <c r="H21" s="1"/>
      <c r="I21" s="1"/>
      <c r="J21" s="1"/>
    </row>
    <row r="22" spans="1:10" x14ac:dyDescent="0.3">
      <c r="A22" s="1" t="s">
        <v>70</v>
      </c>
      <c r="B22" s="1">
        <v>1</v>
      </c>
      <c r="C22" s="1"/>
      <c r="E22" s="1"/>
      <c r="F22" s="1"/>
      <c r="G22" s="1"/>
      <c r="H22" s="1"/>
      <c r="I22" s="1"/>
      <c r="J22" s="1"/>
    </row>
    <row r="23" spans="1:10" x14ac:dyDescent="0.3">
      <c r="A23" s="1" t="s">
        <v>127</v>
      </c>
      <c r="B23" s="1">
        <v>1</v>
      </c>
      <c r="E23" s="1"/>
      <c r="F23" s="1"/>
      <c r="G23" s="1"/>
      <c r="H23" s="1"/>
      <c r="I23" s="1"/>
      <c r="J23" s="1"/>
    </row>
    <row r="24" spans="1:10" x14ac:dyDescent="0.3">
      <c r="A24" s="1" t="s">
        <v>124</v>
      </c>
      <c r="B24" s="1">
        <v>1</v>
      </c>
    </row>
    <row r="25" spans="1:10" x14ac:dyDescent="0.3">
      <c r="A25" s="1" t="s">
        <v>113</v>
      </c>
      <c r="B25" s="1">
        <v>1</v>
      </c>
    </row>
    <row r="29" spans="1:10" ht="17.25" thickBot="1" x14ac:dyDescent="0.35">
      <c r="A29" s="1" t="s">
        <v>82</v>
      </c>
      <c r="C29" s="1"/>
      <c r="E29" s="1"/>
      <c r="F29" s="1"/>
      <c r="G29" s="1"/>
      <c r="H29" s="1"/>
      <c r="I29" s="1"/>
      <c r="J29" s="1"/>
    </row>
    <row r="30" spans="1:10" ht="17.25" thickBot="1" x14ac:dyDescent="0.35">
      <c r="A30" s="2" t="s">
        <v>1</v>
      </c>
      <c r="B30" s="3">
        <v>11</v>
      </c>
      <c r="C30" s="2" t="s">
        <v>2</v>
      </c>
      <c r="D30" s="3">
        <v>10</v>
      </c>
      <c r="E30" s="2" t="s">
        <v>4</v>
      </c>
      <c r="F30" s="3">
        <v>0</v>
      </c>
      <c r="G30" s="2" t="s">
        <v>3</v>
      </c>
      <c r="H30" s="3">
        <v>12</v>
      </c>
      <c r="I30" s="2" t="s">
        <v>8</v>
      </c>
      <c r="J30" s="3">
        <v>82</v>
      </c>
    </row>
    <row r="31" spans="1:10" x14ac:dyDescent="0.3">
      <c r="A31" s="1" t="s">
        <v>15</v>
      </c>
      <c r="B31" s="1">
        <v>6</v>
      </c>
      <c r="C31" s="1" t="s">
        <v>67</v>
      </c>
      <c r="D31" s="1">
        <v>7</v>
      </c>
      <c r="F31" s="1"/>
      <c r="G31" s="1"/>
      <c r="H31" s="1"/>
      <c r="I31" s="1"/>
      <c r="J31" s="1"/>
    </row>
    <row r="32" spans="1:10" x14ac:dyDescent="0.3">
      <c r="A32" s="1" t="s">
        <v>14</v>
      </c>
      <c r="B32" s="1">
        <v>2</v>
      </c>
      <c r="C32" s="1" t="s">
        <v>83</v>
      </c>
      <c r="D32" s="1">
        <v>1</v>
      </c>
      <c r="F32" s="1"/>
      <c r="G32" s="1"/>
      <c r="H32" s="1"/>
      <c r="I32" s="1"/>
      <c r="J32" s="1"/>
    </row>
    <row r="33" spans="1:11" x14ac:dyDescent="0.3">
      <c r="A33" s="1" t="s">
        <v>140</v>
      </c>
      <c r="B33" s="1">
        <v>1</v>
      </c>
      <c r="C33" s="1" t="s">
        <v>124</v>
      </c>
      <c r="D33" s="1">
        <v>1</v>
      </c>
      <c r="F33" s="1"/>
      <c r="G33" s="1"/>
      <c r="H33" s="1"/>
      <c r="I33" s="1"/>
      <c r="J33" s="1"/>
    </row>
    <row r="34" spans="1:11" x14ac:dyDescent="0.3">
      <c r="A34" s="1" t="s">
        <v>126</v>
      </c>
      <c r="B34" s="1">
        <v>1</v>
      </c>
      <c r="C34" s="1" t="s">
        <v>15</v>
      </c>
      <c r="D34" s="1">
        <v>1</v>
      </c>
      <c r="F34" s="1"/>
      <c r="G34" s="1"/>
      <c r="H34" s="1"/>
      <c r="I34" s="1"/>
      <c r="J34" s="1"/>
    </row>
    <row r="35" spans="1:11" x14ac:dyDescent="0.3">
      <c r="A35" s="1" t="s">
        <v>67</v>
      </c>
      <c r="B35" s="1">
        <v>1</v>
      </c>
      <c r="C35" s="1"/>
      <c r="F35" s="1"/>
      <c r="G35" s="1"/>
      <c r="H35" s="1"/>
      <c r="I35" s="1"/>
      <c r="J35" s="1"/>
    </row>
    <row r="36" spans="1:11" x14ac:dyDescent="0.3">
      <c r="A36" s="1"/>
      <c r="C36" s="1"/>
      <c r="F36" s="1"/>
      <c r="G36" s="1"/>
      <c r="H36" s="1"/>
      <c r="I36" s="1"/>
      <c r="J36" s="1"/>
    </row>
    <row r="37" spans="1:11" x14ac:dyDescent="0.3">
      <c r="A37" s="1"/>
      <c r="C37" s="1"/>
    </row>
    <row r="38" spans="1:11" x14ac:dyDescent="0.3">
      <c r="C38" s="1"/>
      <c r="E38" s="1"/>
      <c r="F38" s="1"/>
      <c r="G38" s="1"/>
      <c r="H38" s="1"/>
      <c r="I38" s="1"/>
      <c r="J38" s="1"/>
    </row>
    <row r="39" spans="1:11" ht="17.25" thickBot="1" x14ac:dyDescent="0.35">
      <c r="A39" s="1" t="s">
        <v>106</v>
      </c>
      <c r="C39" s="1"/>
      <c r="E39" s="1"/>
      <c r="F39" s="1"/>
      <c r="G39" s="1"/>
      <c r="H39" s="1"/>
      <c r="I39" s="1"/>
      <c r="J39" s="1"/>
    </row>
    <row r="40" spans="1:11" ht="17.25" thickBot="1" x14ac:dyDescent="0.35">
      <c r="A40" s="2" t="s">
        <v>1</v>
      </c>
      <c r="B40" s="3">
        <v>8</v>
      </c>
      <c r="C40" s="2" t="s">
        <v>2</v>
      </c>
      <c r="D40" s="3">
        <v>2</v>
      </c>
      <c r="E40" s="2" t="s">
        <v>4</v>
      </c>
      <c r="F40" s="3">
        <v>0</v>
      </c>
      <c r="G40" s="2" t="s">
        <v>3</v>
      </c>
      <c r="H40" s="3">
        <v>2</v>
      </c>
      <c r="I40" s="2" t="s">
        <v>8</v>
      </c>
      <c r="J40" s="3">
        <v>65</v>
      </c>
      <c r="K40" s="5" t="s">
        <v>136</v>
      </c>
    </row>
    <row r="41" spans="1:11" x14ac:dyDescent="0.3">
      <c r="A41" s="1" t="s">
        <v>123</v>
      </c>
      <c r="B41" s="1">
        <v>1</v>
      </c>
      <c r="C41" s="1" t="s">
        <v>125</v>
      </c>
      <c r="D41" s="1">
        <v>1</v>
      </c>
      <c r="E41" s="1"/>
      <c r="F41" s="1"/>
      <c r="G41" s="1"/>
      <c r="H41" s="1"/>
      <c r="I41" s="1"/>
      <c r="J41" s="1"/>
      <c r="K41" s="5" t="s">
        <v>137</v>
      </c>
    </row>
    <row r="42" spans="1:11" x14ac:dyDescent="0.3">
      <c r="A42" s="1" t="s">
        <v>122</v>
      </c>
      <c r="B42" s="1">
        <v>2</v>
      </c>
      <c r="C42" s="1" t="s">
        <v>67</v>
      </c>
      <c r="D42" s="1">
        <v>1</v>
      </c>
    </row>
    <row r="43" spans="1:11" x14ac:dyDescent="0.3">
      <c r="A43" s="1" t="s">
        <v>70</v>
      </c>
      <c r="B43" s="1">
        <v>1</v>
      </c>
      <c r="C43" s="1"/>
    </row>
    <row r="44" spans="1:11" x14ac:dyDescent="0.3">
      <c r="A44" s="1" t="s">
        <v>117</v>
      </c>
      <c r="B44" s="1">
        <v>1</v>
      </c>
      <c r="C44" s="1"/>
      <c r="E44" s="1"/>
      <c r="F44" s="1"/>
      <c r="G44" s="1"/>
      <c r="H44" s="1"/>
    </row>
    <row r="45" spans="1:11" x14ac:dyDescent="0.3">
      <c r="A45" s="1" t="s">
        <v>124</v>
      </c>
      <c r="B45" s="1">
        <v>1</v>
      </c>
      <c r="C45" s="1"/>
    </row>
    <row r="46" spans="1:11" x14ac:dyDescent="0.3">
      <c r="A46" s="1" t="s">
        <v>113</v>
      </c>
      <c r="B46" s="1">
        <v>1</v>
      </c>
      <c r="C46" s="1"/>
      <c r="E46" s="1"/>
      <c r="F46" s="1"/>
      <c r="G46" s="1"/>
      <c r="H46" s="1"/>
    </row>
    <row r="47" spans="1:11" x14ac:dyDescent="0.3">
      <c r="A47" s="1" t="s">
        <v>67</v>
      </c>
      <c r="B47" s="1">
        <v>1</v>
      </c>
      <c r="C47" s="1"/>
      <c r="E47" s="1"/>
      <c r="F47" s="1"/>
      <c r="G47" s="1"/>
      <c r="H47" s="1"/>
    </row>
    <row r="48" spans="1:11" x14ac:dyDescent="0.3">
      <c r="A48" s="1"/>
      <c r="C48" s="1"/>
      <c r="E48" s="1"/>
      <c r="F48" s="1"/>
      <c r="G48" s="1"/>
      <c r="H48" s="1"/>
    </row>
    <row r="49" spans="1:10" x14ac:dyDescent="0.3">
      <c r="A49" s="1"/>
      <c r="C49" s="1"/>
      <c r="E49" s="1"/>
      <c r="F49" s="1"/>
      <c r="G49" s="1"/>
      <c r="H49" s="1"/>
    </row>
    <row r="50" spans="1:10" x14ac:dyDescent="0.3">
      <c r="A50" s="1" t="s">
        <v>10</v>
      </c>
      <c r="B50" s="3">
        <v>40</v>
      </c>
      <c r="I50" s="1" t="s">
        <v>9</v>
      </c>
      <c r="J50" s="3">
        <v>58</v>
      </c>
    </row>
    <row r="54" spans="1:10" x14ac:dyDescent="0.3">
      <c r="A54" s="1"/>
      <c r="C54" s="1"/>
      <c r="E54" s="1"/>
      <c r="F54" s="1"/>
      <c r="G54" s="1"/>
      <c r="H54" s="1"/>
      <c r="I54" s="1"/>
      <c r="J54" s="1"/>
    </row>
    <row r="55" spans="1:10" x14ac:dyDescent="0.3">
      <c r="A55" s="1"/>
      <c r="C55" s="1"/>
      <c r="E55" s="1"/>
      <c r="F55" s="1"/>
      <c r="G55" s="1"/>
      <c r="H55" s="1"/>
      <c r="I55" s="1"/>
      <c r="J55" s="1"/>
    </row>
    <row r="56" spans="1:10" x14ac:dyDescent="0.3">
      <c r="A56" s="1"/>
      <c r="C56" s="1"/>
      <c r="E56" s="1"/>
      <c r="F56" s="1"/>
      <c r="G56" s="1"/>
      <c r="H56" s="1"/>
      <c r="I56" s="1"/>
      <c r="J56" s="1"/>
    </row>
    <row r="57" spans="1:10" x14ac:dyDescent="0.3">
      <c r="A57" s="1"/>
      <c r="C57" s="1"/>
      <c r="E57" s="1"/>
      <c r="F57" s="1"/>
      <c r="G57" s="1"/>
      <c r="H57" s="1"/>
      <c r="I57" s="1"/>
      <c r="J57" s="1"/>
    </row>
    <row r="58" spans="1:10" x14ac:dyDescent="0.3">
      <c r="A58" s="1"/>
      <c r="C58" s="1"/>
      <c r="E58" s="1"/>
      <c r="F58" s="1"/>
      <c r="G58" s="1"/>
      <c r="H58" s="1"/>
      <c r="I58" s="1"/>
      <c r="J58" s="1"/>
    </row>
    <row r="59" spans="1:10" x14ac:dyDescent="0.3">
      <c r="A59" s="4"/>
      <c r="C59" s="1"/>
      <c r="E59" s="1"/>
      <c r="F59" s="1"/>
      <c r="G59" s="1"/>
      <c r="H59" s="1"/>
      <c r="I59" s="1"/>
      <c r="J59" s="1"/>
    </row>
    <row r="60" spans="1:10" x14ac:dyDescent="0.3">
      <c r="A60" s="1"/>
      <c r="C60" s="1"/>
      <c r="E60" s="1"/>
      <c r="F60" s="1"/>
      <c r="G60" s="1"/>
      <c r="H60" s="1"/>
      <c r="I60" s="1"/>
      <c r="J60" s="1"/>
    </row>
    <row r="61" spans="1:10" x14ac:dyDescent="0.3">
      <c r="A61" s="1"/>
      <c r="C61" s="1"/>
      <c r="E61" s="1"/>
      <c r="F61" s="1"/>
      <c r="G61" s="1"/>
      <c r="H61" s="1"/>
      <c r="I61" s="1"/>
      <c r="J61" s="1"/>
    </row>
    <row r="62" spans="1:10" x14ac:dyDescent="0.3">
      <c r="A62" s="1"/>
      <c r="C62" s="1"/>
      <c r="E62" s="1"/>
      <c r="F62" s="1"/>
      <c r="G62" s="1"/>
      <c r="H62" s="1"/>
      <c r="I62" s="1"/>
      <c r="J62" s="1"/>
    </row>
    <row r="63" spans="1:10" x14ac:dyDescent="0.3">
      <c r="A63" s="1"/>
      <c r="C63" s="1"/>
      <c r="E63" s="1"/>
      <c r="F63" s="1"/>
      <c r="G63" s="1"/>
      <c r="H63" s="1"/>
      <c r="I63" s="1"/>
      <c r="J63" s="1"/>
    </row>
    <row r="64" spans="1:10" x14ac:dyDescent="0.3">
      <c r="A64" s="1"/>
      <c r="C64" s="1"/>
      <c r="E64" s="1"/>
      <c r="F64" s="1"/>
      <c r="G64" s="1"/>
      <c r="H64" s="1"/>
      <c r="I64" s="1"/>
      <c r="J64" s="1"/>
    </row>
    <row r="65" spans="1:10" x14ac:dyDescent="0.3">
      <c r="A65" s="1"/>
      <c r="C65" s="1"/>
      <c r="E65" s="1"/>
      <c r="F65" s="1"/>
      <c r="G65" s="1"/>
      <c r="H65" s="1"/>
      <c r="I65" s="1"/>
      <c r="J65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topLeftCell="B1" zoomScale="85" zoomScaleNormal="85" workbookViewId="0">
      <selection activeCell="D3" sqref="D3"/>
    </sheetView>
  </sheetViews>
  <sheetFormatPr defaultRowHeight="16.5" x14ac:dyDescent="0.3"/>
  <cols>
    <col min="1" max="1" width="6.25" customWidth="1"/>
    <col min="2" max="2" width="55" customWidth="1"/>
    <col min="3" max="3" width="8.125" customWidth="1"/>
    <col min="4" max="4" width="9.625" customWidth="1"/>
    <col min="8" max="8" width="11.625" customWidth="1"/>
    <col min="9" max="9" width="18.875" customWidth="1"/>
    <col min="11" max="11" width="21.375" customWidth="1"/>
    <col min="12" max="12" width="23" customWidth="1"/>
  </cols>
  <sheetData>
    <row r="1" spans="2:12" ht="18" thickBot="1" x14ac:dyDescent="0.35">
      <c r="B1" s="8" t="s">
        <v>18</v>
      </c>
      <c r="C1" s="9"/>
      <c r="D1" s="2" t="s">
        <v>91</v>
      </c>
      <c r="E1" s="2" t="s">
        <v>92</v>
      </c>
      <c r="F1" s="43" t="s">
        <v>85</v>
      </c>
      <c r="G1" s="43" t="s">
        <v>41</v>
      </c>
      <c r="H1" s="2" t="s">
        <v>128</v>
      </c>
      <c r="I1" s="10"/>
      <c r="J1" s="11"/>
      <c r="K1" s="66"/>
      <c r="L1" s="71" t="s">
        <v>141</v>
      </c>
    </row>
    <row r="2" spans="2:12" ht="33.75" customHeight="1" thickBot="1" x14ac:dyDescent="0.35">
      <c r="B2" s="62" t="s">
        <v>19</v>
      </c>
      <c r="C2" s="9"/>
      <c r="D2" s="18">
        <v>0</v>
      </c>
      <c r="E2" s="18">
        <v>0</v>
      </c>
      <c r="F2" s="46">
        <v>0</v>
      </c>
      <c r="G2" s="45">
        <f>SUM(D2:F2)</f>
        <v>0</v>
      </c>
      <c r="H2" s="44">
        <v>0</v>
      </c>
      <c r="I2" s="13" t="s">
        <v>20</v>
      </c>
      <c r="J2" s="14" t="s">
        <v>21</v>
      </c>
      <c r="K2" s="66">
        <v>0.1</v>
      </c>
      <c r="L2" s="71">
        <f>19/2-G2</f>
        <v>9.5</v>
      </c>
    </row>
    <row r="3" spans="2:12" ht="33.75" customHeight="1" thickBot="1" x14ac:dyDescent="0.35">
      <c r="B3" s="63" t="s">
        <v>22</v>
      </c>
      <c r="C3" s="9"/>
      <c r="D3" s="18">
        <v>3</v>
      </c>
      <c r="E3" s="18">
        <v>3</v>
      </c>
      <c r="F3" s="46">
        <v>5</v>
      </c>
      <c r="G3" s="45">
        <f t="shared" ref="G3:G12" si="0">SUM(D3:F3)</f>
        <v>11</v>
      </c>
      <c r="H3" s="44">
        <f>G3*4</f>
        <v>44</v>
      </c>
      <c r="I3" s="13" t="s">
        <v>71</v>
      </c>
      <c r="J3" s="14" t="s">
        <v>21</v>
      </c>
      <c r="K3" s="66">
        <v>0.1</v>
      </c>
      <c r="L3" s="71">
        <f>102/2-G3</f>
        <v>40</v>
      </c>
    </row>
    <row r="4" spans="2:12" ht="33.75" customHeight="1" thickBot="1" x14ac:dyDescent="0.35">
      <c r="B4" s="64" t="s">
        <v>23</v>
      </c>
      <c r="C4" s="9"/>
      <c r="D4" s="18">
        <v>22</v>
      </c>
      <c r="E4" s="18">
        <v>19</v>
      </c>
      <c r="F4" s="46">
        <v>14</v>
      </c>
      <c r="G4" s="45">
        <f t="shared" si="0"/>
        <v>55</v>
      </c>
      <c r="H4" s="44">
        <f>G4*4</f>
        <v>220</v>
      </c>
      <c r="I4" s="13" t="s">
        <v>72</v>
      </c>
      <c r="J4" s="14" t="s">
        <v>21</v>
      </c>
      <c r="K4" s="66">
        <v>0.1</v>
      </c>
      <c r="L4" s="71">
        <f>(305/2-G4)</f>
        <v>97.5</v>
      </c>
    </row>
    <row r="5" spans="2:12" ht="33.75" customHeight="1" thickBot="1" x14ac:dyDescent="0.35">
      <c r="B5" s="62" t="s">
        <v>24</v>
      </c>
      <c r="C5" s="9"/>
      <c r="D5" s="18">
        <v>0</v>
      </c>
      <c r="E5" s="18">
        <v>0</v>
      </c>
      <c r="F5" s="46">
        <v>0</v>
      </c>
      <c r="G5" s="45">
        <f t="shared" si="0"/>
        <v>0</v>
      </c>
      <c r="H5" s="44">
        <f t="shared" ref="H5:H12" si="1">G5*4</f>
        <v>0</v>
      </c>
      <c r="I5" s="13" t="s">
        <v>129</v>
      </c>
      <c r="J5" s="14" t="s">
        <v>21</v>
      </c>
      <c r="K5" s="66">
        <v>0.1</v>
      </c>
      <c r="L5" s="71">
        <f>5/2-G5</f>
        <v>2.5</v>
      </c>
    </row>
    <row r="6" spans="2:12" ht="33.75" customHeight="1" thickBot="1" x14ac:dyDescent="0.35">
      <c r="B6" s="52" t="s">
        <v>25</v>
      </c>
      <c r="C6" s="9"/>
      <c r="D6" s="18">
        <v>0</v>
      </c>
      <c r="E6" s="18">
        <v>7</v>
      </c>
      <c r="F6" s="46">
        <v>8</v>
      </c>
      <c r="G6" s="45">
        <f t="shared" si="0"/>
        <v>15</v>
      </c>
      <c r="H6" s="44">
        <f t="shared" si="1"/>
        <v>60</v>
      </c>
      <c r="I6" s="13" t="s">
        <v>130</v>
      </c>
      <c r="J6" s="14" t="s">
        <v>21</v>
      </c>
      <c r="K6" s="66">
        <v>0.2</v>
      </c>
      <c r="L6" s="71"/>
    </row>
    <row r="7" spans="2:12" ht="33.75" customHeight="1" thickBot="1" x14ac:dyDescent="0.35">
      <c r="B7" s="51" t="s">
        <v>26</v>
      </c>
      <c r="C7" s="9"/>
      <c r="D7" s="18">
        <v>35</v>
      </c>
      <c r="E7" s="18">
        <v>21</v>
      </c>
      <c r="F7" s="46">
        <v>22</v>
      </c>
      <c r="G7" s="45">
        <f t="shared" si="0"/>
        <v>78</v>
      </c>
      <c r="H7" s="44">
        <f t="shared" si="1"/>
        <v>312</v>
      </c>
      <c r="I7" s="13" t="s">
        <v>132</v>
      </c>
      <c r="J7" s="14" t="s">
        <v>21</v>
      </c>
      <c r="K7" s="66">
        <v>0.2</v>
      </c>
      <c r="L7" s="71"/>
    </row>
    <row r="8" spans="2:12" ht="33.75" customHeight="1" thickBot="1" x14ac:dyDescent="0.35">
      <c r="B8" s="62" t="s">
        <v>27</v>
      </c>
      <c r="C8" s="9"/>
      <c r="D8" s="18">
        <v>0</v>
      </c>
      <c r="E8" s="18">
        <v>0</v>
      </c>
      <c r="F8" s="46">
        <v>0</v>
      </c>
      <c r="G8" s="45">
        <f t="shared" si="0"/>
        <v>0</v>
      </c>
      <c r="H8" s="44">
        <f t="shared" si="1"/>
        <v>0</v>
      </c>
      <c r="I8" s="13" t="s">
        <v>73</v>
      </c>
      <c r="J8" s="14" t="s">
        <v>21</v>
      </c>
      <c r="K8" s="66">
        <v>0.1</v>
      </c>
      <c r="L8" s="71">
        <f>2/2-G8</f>
        <v>1</v>
      </c>
    </row>
    <row r="9" spans="2:12" ht="33.75" customHeight="1" thickBot="1" x14ac:dyDescent="0.35">
      <c r="B9" s="63" t="s">
        <v>28</v>
      </c>
      <c r="C9" s="9"/>
      <c r="D9" s="18">
        <v>1</v>
      </c>
      <c r="E9" s="18">
        <v>3</v>
      </c>
      <c r="F9" s="46">
        <v>1</v>
      </c>
      <c r="G9" s="45">
        <f t="shared" si="0"/>
        <v>5</v>
      </c>
      <c r="H9" s="44">
        <f t="shared" si="1"/>
        <v>20</v>
      </c>
      <c r="I9" s="13" t="s">
        <v>74</v>
      </c>
      <c r="J9" s="14" t="s">
        <v>21</v>
      </c>
      <c r="K9" s="66">
        <v>0.1</v>
      </c>
      <c r="L9" s="71">
        <f>24/2-G9</f>
        <v>7</v>
      </c>
    </row>
    <row r="10" spans="2:12" ht="33.75" customHeight="1" thickBot="1" x14ac:dyDescent="0.35">
      <c r="B10" s="64" t="s">
        <v>29</v>
      </c>
      <c r="C10" s="9"/>
      <c r="D10" s="18">
        <v>3</v>
      </c>
      <c r="E10" s="18">
        <v>1</v>
      </c>
      <c r="F10" s="46">
        <v>0</v>
      </c>
      <c r="G10" s="45">
        <f t="shared" si="0"/>
        <v>4</v>
      </c>
      <c r="H10" s="44">
        <f t="shared" si="1"/>
        <v>16</v>
      </c>
      <c r="I10" s="13" t="s">
        <v>30</v>
      </c>
      <c r="J10" s="14" t="s">
        <v>21</v>
      </c>
      <c r="K10" s="66">
        <v>0.1</v>
      </c>
      <c r="L10" s="71">
        <f>118/2-G10</f>
        <v>55</v>
      </c>
    </row>
    <row r="11" spans="2:12" ht="33.75" customHeight="1" thickBot="1" x14ac:dyDescent="0.35">
      <c r="B11" s="65" t="s">
        <v>31</v>
      </c>
      <c r="C11" s="9"/>
      <c r="D11" s="18">
        <v>9</v>
      </c>
      <c r="E11" s="18">
        <v>10</v>
      </c>
      <c r="F11" s="46">
        <v>9</v>
      </c>
      <c r="G11" s="45">
        <f t="shared" si="0"/>
        <v>28</v>
      </c>
      <c r="H11" s="44">
        <f t="shared" si="1"/>
        <v>112</v>
      </c>
      <c r="I11" s="13" t="s">
        <v>131</v>
      </c>
      <c r="J11" s="14" t="s">
        <v>21</v>
      </c>
      <c r="K11" s="66">
        <v>0.1</v>
      </c>
      <c r="L11" s="71">
        <f>133/2-G11</f>
        <v>38.5</v>
      </c>
    </row>
    <row r="12" spans="2:12" ht="33.75" customHeight="1" thickBot="1" x14ac:dyDescent="0.35">
      <c r="B12" s="65" t="s">
        <v>32</v>
      </c>
      <c r="C12" s="9"/>
      <c r="D12" s="18">
        <v>15</v>
      </c>
      <c r="E12" s="18">
        <v>10</v>
      </c>
      <c r="F12" s="46">
        <v>11</v>
      </c>
      <c r="G12" s="45">
        <f t="shared" si="0"/>
        <v>36</v>
      </c>
      <c r="H12" s="44">
        <f t="shared" si="1"/>
        <v>144</v>
      </c>
      <c r="I12" s="13" t="s">
        <v>75</v>
      </c>
      <c r="J12" s="14" t="s">
        <v>21</v>
      </c>
      <c r="K12" s="66">
        <v>0.1</v>
      </c>
      <c r="L12" s="71">
        <f>206/2-G12</f>
        <v>67</v>
      </c>
    </row>
    <row r="13" spans="2:12" ht="27" thickBot="1" x14ac:dyDescent="0.35">
      <c r="D13" s="19">
        <f t="shared" ref="D13:F13" si="2">SUM(D2:D12)</f>
        <v>88</v>
      </c>
      <c r="E13" s="19">
        <f t="shared" si="2"/>
        <v>74</v>
      </c>
      <c r="F13" s="19">
        <f t="shared" si="2"/>
        <v>70</v>
      </c>
      <c r="G13" s="20">
        <f>SUM(D13:F13)</f>
        <v>232</v>
      </c>
    </row>
    <row r="21" spans="9:9" x14ac:dyDescent="0.3">
      <c r="I21" t="s">
        <v>143</v>
      </c>
    </row>
  </sheetData>
  <phoneticPr fontId="1" type="noConversion"/>
  <dataValidations count="2">
    <dataValidation type="whole" allowBlank="1" showInputMessage="1" showErrorMessage="1" sqref="K1" xr:uid="{00000000-0002-0000-0200-000000000000}">
      <formula1>0</formula1>
      <formula2>4</formula2>
    </dataValidation>
    <dataValidation type="decimal" allowBlank="1" showInputMessage="1" showErrorMessage="1" sqref="K2:K12" xr:uid="{00000000-0002-0000-0200-000001000000}">
      <formula1>0</formula1>
      <formula2>1</formula2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workbookViewId="0">
      <selection activeCell="G24" sqref="G24"/>
    </sheetView>
  </sheetViews>
  <sheetFormatPr defaultRowHeight="16.5" x14ac:dyDescent="0.3"/>
  <cols>
    <col min="1" max="1" width="10.375" customWidth="1"/>
    <col min="5" max="5" width="13.875" customWidth="1"/>
    <col min="6" max="6" width="2" customWidth="1"/>
    <col min="7" max="7" width="18.625" customWidth="1"/>
    <col min="8" max="8" width="16" customWidth="1"/>
    <col min="9" max="9" width="13.25" customWidth="1"/>
    <col min="10" max="10" width="20.875" style="1" customWidth="1"/>
    <col min="11" max="11" width="23" style="1" customWidth="1"/>
  </cols>
  <sheetData>
    <row r="1" spans="1:13" ht="17.25" thickBot="1" x14ac:dyDescent="0.35">
      <c r="C1" t="s">
        <v>76</v>
      </c>
    </row>
    <row r="2" spans="1:13" ht="32.25" thickBot="1" x14ac:dyDescent="0.35">
      <c r="A2" s="73" t="s">
        <v>105</v>
      </c>
      <c r="B2" s="74"/>
      <c r="C2" s="74"/>
      <c r="D2" s="74"/>
      <c r="E2" s="74"/>
      <c r="F2" s="74"/>
      <c r="G2" s="74"/>
      <c r="H2" s="74"/>
      <c r="I2" s="75"/>
    </row>
    <row r="3" spans="1:13" ht="17.25" thickBot="1" x14ac:dyDescent="0.35">
      <c r="A3" s="24" t="s">
        <v>33</v>
      </c>
      <c r="B3" s="25" t="s">
        <v>91</v>
      </c>
      <c r="C3" s="25" t="s">
        <v>92</v>
      </c>
      <c r="D3" s="59" t="s">
        <v>85</v>
      </c>
      <c r="E3" s="40" t="s">
        <v>49</v>
      </c>
      <c r="G3" s="33" t="s">
        <v>47</v>
      </c>
      <c r="H3" s="33" t="s">
        <v>48</v>
      </c>
      <c r="I3" s="33" t="s">
        <v>52</v>
      </c>
    </row>
    <row r="4" spans="1:13" ht="17.25" thickBot="1" x14ac:dyDescent="0.35">
      <c r="A4" s="26" t="s">
        <v>35</v>
      </c>
      <c r="B4" s="16">
        <v>5</v>
      </c>
      <c r="C4" s="16">
        <v>8</v>
      </c>
      <c r="D4" s="57">
        <v>0</v>
      </c>
      <c r="E4" s="30">
        <f>SUM(B4:D4)</f>
        <v>13</v>
      </c>
      <c r="G4" s="21" t="s">
        <v>44</v>
      </c>
      <c r="H4" s="27" t="s">
        <v>95</v>
      </c>
      <c r="I4" s="67" t="s">
        <v>59</v>
      </c>
      <c r="J4" s="70" t="s">
        <v>142</v>
      </c>
      <c r="K4" s="70" t="s">
        <v>144</v>
      </c>
    </row>
    <row r="5" spans="1:13" ht="17.25" thickBot="1" x14ac:dyDescent="0.35">
      <c r="A5" s="26" t="s">
        <v>36</v>
      </c>
      <c r="B5" s="16">
        <v>4</v>
      </c>
      <c r="C5" s="16">
        <v>3</v>
      </c>
      <c r="D5" s="57">
        <v>4</v>
      </c>
      <c r="E5" s="30">
        <f t="shared" ref="E5:E8" si="0">SUM(B5:D5)</f>
        <v>11</v>
      </c>
      <c r="G5" s="22" t="s">
        <v>43</v>
      </c>
      <c r="H5" s="28" t="s">
        <v>96</v>
      </c>
      <c r="I5" s="68" t="s">
        <v>60</v>
      </c>
      <c r="J5" s="70">
        <f>(451/2-E9)</f>
        <v>117.5</v>
      </c>
      <c r="K5" s="70">
        <f>J5/3</f>
        <v>39.166666666666664</v>
      </c>
    </row>
    <row r="6" spans="1:13" ht="17.25" thickBot="1" x14ac:dyDescent="0.35">
      <c r="A6" s="26" t="s">
        <v>37</v>
      </c>
      <c r="B6" s="16">
        <v>21</v>
      </c>
      <c r="C6" s="16">
        <v>9</v>
      </c>
      <c r="D6" s="57">
        <v>12</v>
      </c>
      <c r="E6" s="30">
        <f t="shared" si="0"/>
        <v>42</v>
      </c>
      <c r="G6" s="22" t="s">
        <v>42</v>
      </c>
      <c r="H6" s="28" t="s">
        <v>97</v>
      </c>
      <c r="I6" s="68" t="s">
        <v>61</v>
      </c>
      <c r="J6" s="70">
        <f>526/2-E9</f>
        <v>155</v>
      </c>
      <c r="K6" s="70">
        <f t="shared" ref="K6:K8" si="1">J6/3</f>
        <v>51.666666666666664</v>
      </c>
    </row>
    <row r="7" spans="1:13" ht="17.25" thickBot="1" x14ac:dyDescent="0.35">
      <c r="A7" s="26" t="s">
        <v>86</v>
      </c>
      <c r="B7" s="16">
        <v>13</v>
      </c>
      <c r="C7" s="16">
        <v>10</v>
      </c>
      <c r="D7" s="57">
        <v>12</v>
      </c>
      <c r="E7" s="30">
        <f t="shared" si="0"/>
        <v>35</v>
      </c>
      <c r="G7" s="22" t="s">
        <v>45</v>
      </c>
      <c r="H7" s="28" t="s">
        <v>98</v>
      </c>
      <c r="I7" s="68" t="s">
        <v>62</v>
      </c>
      <c r="J7" s="70">
        <f>601/2-E9</f>
        <v>192.5</v>
      </c>
      <c r="K7" s="70">
        <f t="shared" si="1"/>
        <v>64.166666666666671</v>
      </c>
    </row>
    <row r="8" spans="1:13" ht="17.25" thickBot="1" x14ac:dyDescent="0.35">
      <c r="A8" s="26" t="s">
        <v>94</v>
      </c>
      <c r="B8" s="16">
        <v>1</v>
      </c>
      <c r="C8" s="16">
        <v>5</v>
      </c>
      <c r="D8" s="57">
        <v>1</v>
      </c>
      <c r="E8" s="30">
        <f t="shared" si="0"/>
        <v>7</v>
      </c>
      <c r="G8" s="23" t="s">
        <v>46</v>
      </c>
      <c r="H8" s="29" t="s">
        <v>99</v>
      </c>
      <c r="I8" s="69" t="s">
        <v>63</v>
      </c>
      <c r="J8" s="70">
        <f>676/2-E9</f>
        <v>230</v>
      </c>
      <c r="K8" s="70">
        <f t="shared" si="1"/>
        <v>76.666666666666671</v>
      </c>
    </row>
    <row r="9" spans="1:13" ht="27" thickBot="1" x14ac:dyDescent="0.35">
      <c r="A9" s="31" t="s">
        <v>50</v>
      </c>
      <c r="B9" s="32">
        <f>SUM(B4:B8)</f>
        <v>44</v>
      </c>
      <c r="C9" s="32">
        <f>SUM(C4:C8)</f>
        <v>35</v>
      </c>
      <c r="D9" s="60">
        <f>SUM(D4:D8)</f>
        <v>29</v>
      </c>
      <c r="E9" s="39">
        <f>SUM(B9:D9)</f>
        <v>108</v>
      </c>
      <c r="M9" s="61"/>
    </row>
    <row r="10" spans="1:13" ht="17.25" thickBot="1" x14ac:dyDescent="0.35">
      <c r="C10" s="49"/>
      <c r="D10" s="49"/>
      <c r="E10" s="50"/>
    </row>
    <row r="11" spans="1:13" ht="17.25" thickBot="1" x14ac:dyDescent="0.35">
      <c r="G11" s="38" t="s">
        <v>133</v>
      </c>
      <c r="H11" s="38" t="s">
        <v>58</v>
      </c>
      <c r="I11" s="38" t="s">
        <v>52</v>
      </c>
    </row>
    <row r="12" spans="1:13" ht="32.25" thickBot="1" x14ac:dyDescent="0.35">
      <c r="G12" s="34">
        <f>E9*4</f>
        <v>432</v>
      </c>
      <c r="H12" s="35"/>
      <c r="I12" s="37">
        <v>0</v>
      </c>
    </row>
    <row r="13" spans="1:13" ht="17.25" thickBot="1" x14ac:dyDescent="0.35"/>
    <row r="14" spans="1:13" ht="32.25" thickBot="1" x14ac:dyDescent="0.35">
      <c r="A14" s="73" t="s">
        <v>90</v>
      </c>
      <c r="B14" s="76"/>
      <c r="C14" s="76"/>
      <c r="D14" s="76"/>
      <c r="E14" s="76"/>
      <c r="F14" s="76"/>
      <c r="G14" s="76"/>
      <c r="H14" s="76"/>
      <c r="I14" s="77"/>
    </row>
    <row r="15" spans="1:13" ht="17.25" thickBot="1" x14ac:dyDescent="0.35">
      <c r="A15" s="24" t="s">
        <v>38</v>
      </c>
      <c r="B15" s="42" t="s">
        <v>91</v>
      </c>
      <c r="C15" s="42" t="s">
        <v>92</v>
      </c>
      <c r="D15" s="56" t="s">
        <v>85</v>
      </c>
      <c r="E15" s="40" t="s">
        <v>51</v>
      </c>
      <c r="G15" s="33" t="s">
        <v>47</v>
      </c>
      <c r="H15" s="33" t="s">
        <v>48</v>
      </c>
      <c r="I15" s="33" t="s">
        <v>52</v>
      </c>
    </row>
    <row r="16" spans="1:13" x14ac:dyDescent="0.3">
      <c r="A16" s="26" t="s">
        <v>39</v>
      </c>
      <c r="B16" s="16">
        <v>174</v>
      </c>
      <c r="C16" s="16">
        <v>144</v>
      </c>
      <c r="D16" s="57">
        <v>123</v>
      </c>
      <c r="E16" s="30">
        <f>SUM(B16:D16)</f>
        <v>441</v>
      </c>
      <c r="G16" s="21" t="s">
        <v>104</v>
      </c>
      <c r="H16" s="27">
        <v>3749</v>
      </c>
      <c r="I16" s="27" t="s">
        <v>59</v>
      </c>
    </row>
    <row r="17" spans="1:11" ht="17.25" thickBot="1" x14ac:dyDescent="0.35">
      <c r="A17" s="26" t="s">
        <v>40</v>
      </c>
      <c r="B17" s="16">
        <v>349</v>
      </c>
      <c r="C17" s="16">
        <v>323</v>
      </c>
      <c r="D17" s="57">
        <v>311</v>
      </c>
      <c r="E17" s="30">
        <f>SUM(B17:D17)</f>
        <v>983</v>
      </c>
      <c r="G17" s="22" t="s">
        <v>57</v>
      </c>
      <c r="H17" s="28" t="s">
        <v>100</v>
      </c>
      <c r="I17" s="28" t="s">
        <v>60</v>
      </c>
    </row>
    <row r="18" spans="1:11" ht="27" thickBot="1" x14ac:dyDescent="0.35">
      <c r="A18" s="31" t="s">
        <v>50</v>
      </c>
      <c r="B18" s="41">
        <f>SUM(B16:B17)</f>
        <v>523</v>
      </c>
      <c r="C18" s="41">
        <f t="shared" ref="C18" si="2">SUM(C16:C17)</f>
        <v>467</v>
      </c>
      <c r="D18" s="58">
        <f>SUM(D16:D17)</f>
        <v>434</v>
      </c>
      <c r="E18" s="39">
        <f>SUM(B18:D18)</f>
        <v>1424</v>
      </c>
      <c r="G18" s="22" t="s">
        <v>56</v>
      </c>
      <c r="H18" s="28" t="s">
        <v>101</v>
      </c>
      <c r="I18" s="28" t="s">
        <v>64</v>
      </c>
      <c r="J18" s="70" t="s">
        <v>142</v>
      </c>
      <c r="K18" s="70" t="s">
        <v>144</v>
      </c>
    </row>
    <row r="19" spans="1:11" ht="17.25" thickBot="1" x14ac:dyDescent="0.35">
      <c r="G19" s="22" t="s">
        <v>55</v>
      </c>
      <c r="H19" s="28" t="s">
        <v>102</v>
      </c>
      <c r="I19" s="28" t="s">
        <v>65</v>
      </c>
      <c r="J19" s="70">
        <f>(6751/2-E18)</f>
        <v>1951.5</v>
      </c>
      <c r="K19" s="70">
        <f>J19/3</f>
        <v>650.5</v>
      </c>
    </row>
    <row r="20" spans="1:11" ht="17.25" thickBot="1" x14ac:dyDescent="0.35">
      <c r="G20" s="22" t="s">
        <v>54</v>
      </c>
      <c r="H20" s="28" t="s">
        <v>103</v>
      </c>
      <c r="I20" s="28" t="s">
        <v>66</v>
      </c>
      <c r="J20" s="70">
        <f>8251/2-E18</f>
        <v>2701.5</v>
      </c>
      <c r="K20" s="70">
        <f t="shared" ref="K20:K21" si="3">J20/3</f>
        <v>900.5</v>
      </c>
    </row>
    <row r="21" spans="1:11" ht="17.25" thickBot="1" x14ac:dyDescent="0.35">
      <c r="G21" s="23" t="s">
        <v>53</v>
      </c>
      <c r="H21" s="29">
        <v>9751</v>
      </c>
      <c r="I21" s="29" t="s">
        <v>63</v>
      </c>
      <c r="J21" s="70">
        <f>9751/2-E18</f>
        <v>3451.5</v>
      </c>
      <c r="K21" s="70">
        <f t="shared" si="3"/>
        <v>1150.5</v>
      </c>
    </row>
    <row r="22" spans="1:11" ht="17.25" thickBot="1" x14ac:dyDescent="0.35">
      <c r="A22" s="53"/>
      <c r="B22" s="53"/>
      <c r="C22" s="53"/>
      <c r="D22" s="53"/>
    </row>
    <row r="23" spans="1:11" ht="17.25" thickBot="1" x14ac:dyDescent="0.35">
      <c r="A23" s="53"/>
      <c r="B23" s="53"/>
      <c r="C23" s="53"/>
      <c r="D23" s="53"/>
      <c r="G23" s="38" t="s">
        <v>133</v>
      </c>
      <c r="H23" s="38" t="s">
        <v>58</v>
      </c>
      <c r="I23" s="38" t="s">
        <v>52</v>
      </c>
    </row>
    <row r="24" spans="1:11" ht="32.25" thickBot="1" x14ac:dyDescent="0.35">
      <c r="A24" s="53"/>
      <c r="B24" s="53"/>
      <c r="C24" s="53"/>
      <c r="D24" s="53"/>
      <c r="G24" s="34">
        <f>E18*4</f>
        <v>5696</v>
      </c>
      <c r="H24" s="36"/>
      <c r="I24" s="37">
        <v>4</v>
      </c>
    </row>
  </sheetData>
  <mergeCells count="2">
    <mergeCell ref="A2:I2"/>
    <mergeCell ref="A14:I14"/>
  </mergeCells>
  <phoneticPr fontId="1" type="noConversion"/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M11"/>
  <sheetViews>
    <sheetView tabSelected="1" workbookViewId="0">
      <selection activeCell="F5" sqref="F5"/>
    </sheetView>
  </sheetViews>
  <sheetFormatPr defaultRowHeight="16.5" x14ac:dyDescent="0.3"/>
  <cols>
    <col min="5" max="5" width="8.625" customWidth="1"/>
    <col min="6" max="6" width="11.625" customWidth="1"/>
    <col min="10" max="10" width="14.25" customWidth="1"/>
  </cols>
  <sheetData>
    <row r="2" spans="1:13" x14ac:dyDescent="0.3">
      <c r="A2" s="78" t="s">
        <v>93</v>
      </c>
      <c r="B2" s="78"/>
      <c r="C2" s="78"/>
      <c r="D2" s="55"/>
      <c r="E2" s="54"/>
      <c r="F2" s="5"/>
      <c r="G2" s="5"/>
      <c r="H2" s="5"/>
      <c r="I2" s="5"/>
      <c r="J2" s="5"/>
      <c r="K2" s="5"/>
    </row>
    <row r="3" spans="1:13" x14ac:dyDescent="0.3">
      <c r="A3" s="15" t="s">
        <v>38</v>
      </c>
      <c r="B3" s="15" t="s">
        <v>91</v>
      </c>
      <c r="C3" s="15" t="s">
        <v>92</v>
      </c>
      <c r="D3" s="15" t="s">
        <v>85</v>
      </c>
      <c r="E3" s="15" t="s">
        <v>34</v>
      </c>
      <c r="F3" s="15" t="s">
        <v>134</v>
      </c>
    </row>
    <row r="4" spans="1:13" ht="17.25" thickBot="1" x14ac:dyDescent="0.35">
      <c r="A4" s="16" t="s">
        <v>39</v>
      </c>
      <c r="B4" s="16">
        <v>18</v>
      </c>
      <c r="C4" s="16">
        <v>56</v>
      </c>
      <c r="D4" s="16">
        <v>40</v>
      </c>
      <c r="E4" s="17">
        <f>SUM(B4:D4)</f>
        <v>114</v>
      </c>
      <c r="F4" s="72">
        <f>E4*4</f>
        <v>456</v>
      </c>
    </row>
    <row r="5" spans="1:13" ht="82.5" customHeight="1" thickBot="1" x14ac:dyDescent="0.35">
      <c r="A5" s="16" t="s">
        <v>145</v>
      </c>
      <c r="B5" s="16">
        <v>14</v>
      </c>
      <c r="C5" s="16">
        <v>47</v>
      </c>
      <c r="D5" s="16">
        <v>29</v>
      </c>
      <c r="E5" s="16">
        <f>SUM(B5:D5)</f>
        <v>90</v>
      </c>
      <c r="F5" s="16">
        <f>E5*4</f>
        <v>360</v>
      </c>
      <c r="H5" s="47" t="s">
        <v>77</v>
      </c>
      <c r="I5" s="9">
        <f>F5/6</f>
        <v>60</v>
      </c>
      <c r="J5" s="13" t="s">
        <v>78</v>
      </c>
      <c r="K5" s="14" t="s">
        <v>79</v>
      </c>
      <c r="L5" s="12"/>
      <c r="M5" s="48"/>
    </row>
    <row r="6" spans="1:13" x14ac:dyDescent="0.3">
      <c r="B6" s="61"/>
      <c r="C6" s="61"/>
      <c r="D6" s="61"/>
    </row>
    <row r="7" spans="1:13" x14ac:dyDescent="0.3">
      <c r="A7" s="53"/>
      <c r="B7" s="53"/>
      <c r="C7" s="53"/>
      <c r="D7" s="53"/>
    </row>
    <row r="8" spans="1:13" x14ac:dyDescent="0.3">
      <c r="A8" s="53"/>
      <c r="B8" s="53"/>
      <c r="C8" s="53"/>
      <c r="D8" s="53"/>
    </row>
    <row r="11" spans="1:13" x14ac:dyDescent="0.3">
      <c r="C11" s="50"/>
    </row>
  </sheetData>
  <mergeCells count="1">
    <mergeCell ref="A2:C2"/>
  </mergeCells>
  <phoneticPr fontId="1" type="noConversion"/>
  <dataValidations count="1">
    <dataValidation type="decimal" allowBlank="1" showInputMessage="1" showErrorMessage="1" sqref="L5:M5" xr:uid="{00000000-0002-0000-0500-000000000000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9월</vt:lpstr>
      <vt:lpstr>10월</vt:lpstr>
      <vt:lpstr>11월</vt:lpstr>
      <vt:lpstr>수술분류</vt:lpstr>
      <vt:lpstr>퇴원 환자 수</vt:lpstr>
      <vt:lpstr>응급실 환자 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영남대의료원</dc:creator>
  <cp:lastModifiedBy>YUMC</cp:lastModifiedBy>
  <cp:lastPrinted>2022-07-11T08:44:11Z</cp:lastPrinted>
  <dcterms:created xsi:type="dcterms:W3CDTF">2018-10-30T15:44:24Z</dcterms:created>
  <dcterms:modified xsi:type="dcterms:W3CDTF">2025-12-08T05:54:44Z</dcterms:modified>
</cp:coreProperties>
</file>