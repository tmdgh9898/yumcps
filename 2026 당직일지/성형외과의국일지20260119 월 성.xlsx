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bookViews>
    <workbookView xWindow="0" yWindow="0" windowWidth="19200" windowHeight="11925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<sst xmlns="http://schemas.openxmlformats.org/spreadsheetml/2006/main" count="203" uniqueCount="162">
  <si>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</si>
  <si>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</si>
  <si>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</si>
  <si>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</si>
  <si>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</si>
  <si>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</si>
  <si>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</si>
  <si>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</si>
  <si>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</si>
  <si>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</si>
  <si>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</si>
  <si>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</si>
  <si>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</si>
  <si>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</si>
  <si>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</si>
  <si>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</si>
  <si>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</si>
  <si>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</si>
  <si>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</si>
  <si>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</si>
  <si>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</si>
  <si>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</si>
  <si>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</si>
  <si>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</si>
  <si>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</si>
  <si>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</si>
  <si>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</si>
  <si>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</si>
  <si>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</si>
  <si>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</si>
  <si>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</si>
  <si>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</si>
  <si>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</si>
  <si>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</si>
  <si>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</si>
  <si>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</si>
  <si>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</si>
  <si>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</si>
  <si>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</si>
  <si>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</si>
  <si>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</si>
  <si>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</si>
  <si>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</si>
  <si>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</si>
  <si>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</si>
  <si>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</si>
  <si>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</si>
  <si>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</si>
  <si>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</si>
  <si>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</si>
  <si>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</si>
  <si>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</si>
  <si>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</si>
  <si>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</si>
  <si>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</si>
  <si>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</si>
  <si>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</si>
  <si>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</si>
  <si>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</si>
  <si>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</si>
  <si>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</si>
  <si>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</si>
  <si>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</si>
  <si>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</si>
  <si>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</si>
  <si>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</si>
  <si>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</si>
  <si>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</si>
  <si>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</si>
  <si>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</si>
  <si>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</si>
  <si>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</si>
  <si>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</si>
  <si>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</si>
  <si>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</si>
  <si>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</si>
  <si>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</si>
  <si>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</si>
  <si>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</si>
  <si>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</si>
  <si>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</si>
  <si>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</si>
  <si>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</si>
  <si>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</si>
  <si>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</si>
  <si>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</si>
  <si>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</si>
  <si>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</si>
  <si>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</si>
  <si>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</si>
  <si>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</si>
  <si>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</si>
  <si>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</si>
  <si>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</si>
  <si>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</si>
  <si>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</si>
  <si>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</si>
  <si>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</si>
  <si>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</si>
  <si>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</si>
  <si>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</si>
  <si>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</si>
  <si>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</si>
  <si>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</si>
  <si>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</si>
  <si>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</si>
  <si>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</si>
  <si>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</si>
  <si>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</si>
  <si>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</si>
  <si>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</si>
  <si>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</si>
  <si>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</si>
  <si>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</si>
  <si>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</si>
  <si>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</si>
  <si>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</si>
  <si>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</si>
  <si>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</si>
  <si>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</si>
  <si>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M</t>
    <phoneticPr fontId="544" type="noConversion"/>
  </si>
  <si>
    <t>Primary closure</t>
    <phoneticPr fontId="544" type="noConversion"/>
  </si>
  <si>
    <t>(월)</t>
    <phoneticPr fontId="544" type="noConversion"/>
  </si>
  <si>
    <t>김태곤</t>
    <phoneticPr fontId="544" type="noConversion"/>
  </si>
  <si>
    <t>유도길</t>
    <phoneticPr fontId="544" type="noConversion"/>
  </si>
  <si>
    <t>D1</t>
    <phoneticPr fontId="544" type="noConversion"/>
  </si>
  <si>
    <t>25166483</t>
    <phoneticPr fontId="544" type="noConversion"/>
  </si>
  <si>
    <t>567</t>
    <phoneticPr fontId="544" type="noConversion"/>
  </si>
  <si>
    <t>류성실</t>
    <phoneticPr fontId="544" type="noConversion"/>
  </si>
  <si>
    <t>65</t>
    <phoneticPr fontId="544" type="noConversion"/>
  </si>
  <si>
    <t>김태곤/추인우</t>
    <phoneticPr fontId="544" type="noConversion"/>
  </si>
  <si>
    <t>S910</t>
    <phoneticPr fontId="544" type="noConversion"/>
  </si>
  <si>
    <t>Open wound on Lt. lateral malleolus
(Transfer in from 'OS' dept.)</t>
    <phoneticPr fontId="544" type="noConversion"/>
  </si>
  <si>
    <t>23935351</t>
    <phoneticPr fontId="544" type="noConversion"/>
  </si>
  <si>
    <t>869</t>
    <phoneticPr fontId="544" type="noConversion"/>
  </si>
  <si>
    <t>한찬옥</t>
    <phoneticPr fontId="544" type="noConversion"/>
  </si>
  <si>
    <t>61</t>
    <phoneticPr fontId="544" type="noConversion"/>
  </si>
  <si>
    <t>E</t>
    <phoneticPr fontId="544" type="noConversion"/>
  </si>
  <si>
    <t>이준호/추인우</t>
    <phoneticPr fontId="544" type="noConversion"/>
  </si>
  <si>
    <t>L893</t>
    <phoneticPr fontId="544" type="noConversion"/>
  </si>
  <si>
    <t>A. General</t>
  </si>
  <si>
    <t>28372890</t>
    <phoneticPr fontId="544" type="noConversion"/>
  </si>
  <si>
    <t>김성훈</t>
    <phoneticPr fontId="544" type="noConversion"/>
  </si>
  <si>
    <t>41</t>
    <phoneticPr fontId="544" type="noConversion"/>
  </si>
  <si>
    <t>김태곤/이상오</t>
    <phoneticPr fontId="544" type="noConversion"/>
  </si>
  <si>
    <t>Open wound on Lt. lower leg s/p irrigation and debridement</t>
  </si>
  <si>
    <t>Debridement and local advancement flap</t>
    <phoneticPr fontId="544" type="noConversion"/>
  </si>
  <si>
    <t>30070100</t>
    <phoneticPr fontId="544" type="noConversion"/>
  </si>
  <si>
    <t>김상미</t>
    <phoneticPr fontId="544" type="noConversion"/>
  </si>
  <si>
    <t>44</t>
    <phoneticPr fontId="544" type="noConversion"/>
  </si>
  <si>
    <t>이준호/이상오</t>
    <phoneticPr fontId="544" type="noConversion"/>
  </si>
  <si>
    <t>1. Immediate breast reconstruction with breast implant (#1, Mentor moderate classic 130cc) and Megaderm (#1, size: 20x20㎠, thickness: 1.0-1.5mm, 72cc), Lt. (Prepectoral plane, Ray method)
2. Nipple sparing mastectomy with sentinel node dissection, Lt.(at 'GSB' dept.)</t>
    <phoneticPr fontId="544" type="noConversion"/>
  </si>
  <si>
    <t>Breast cancer, Lt.</t>
    <phoneticPr fontId="544" type="noConversion"/>
  </si>
  <si>
    <t>25358703</t>
    <phoneticPr fontId="544" type="noConversion"/>
  </si>
  <si>
    <t>이선화</t>
    <phoneticPr fontId="544" type="noConversion"/>
  </si>
  <si>
    <t>43</t>
    <phoneticPr fontId="544" type="noConversion"/>
  </si>
  <si>
    <t>21482716</t>
    <phoneticPr fontId="544" type="noConversion"/>
  </si>
  <si>
    <t>전홍열
22:44
23:43</t>
    <phoneticPr fontId="544" type="noConversion"/>
  </si>
  <si>
    <t>75</t>
    <phoneticPr fontId="544" type="noConversion"/>
  </si>
  <si>
    <t>Laceration on Lt. cheek and Lt. forehead</t>
  </si>
  <si>
    <t>1. Immediate breast reconstruction with breast implant (#1, Mentor moderate classic 215cc) and Megaderm (#1, size: 20x20㎠, thickness: 1.0-1.5mm, 45cc), Lt. (Prepectoral plane, Ray method)
2. Areolar sparing mastectomy with sentinel node dissection, Lt.(at 'GSB' dept.)</t>
    <phoneticPr fontId="544" type="noConversion"/>
  </si>
  <si>
    <t>Pressure injury on Lt. ischial area (stage III)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</si>
</sst>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6"/>
  <sheetViews>
    <sheetView showGridLines="0" tabSelected="1" view="pageBreakPreview" zoomScaleSheetLayoutView="100" workbookViewId="0">
      <selection activeCell="J16" sqref="J1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45676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2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123</v>
      </c>
      <c r="L4" s="79"/>
    </row>
    <row r="5" spans="1:12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124</v>
      </c>
      <c r="L5" s="79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2">
      <c r="A8" s="4" t="s">
        <v>54</v>
      </c>
      <c r="B8" s="5">
        <v>2</v>
      </c>
      <c r="C8" s="4" t="s">
        <v>45</v>
      </c>
      <c r="D8" s="5">
        <v>0</v>
      </c>
      <c r="E8" s="4" t="s">
        <v>65</v>
      </c>
      <c r="F8" s="5">
        <v>11</v>
      </c>
      <c r="G8" s="4" t="s">
        <v>104</v>
      </c>
      <c r="H8" s="5">
        <v>13</v>
      </c>
      <c r="I8" s="4" t="s">
        <v>37</v>
      </c>
      <c r="J8" s="5">
        <v>29</v>
      </c>
      <c r="K8" s="6" t="s">
        <v>69</v>
      </c>
      <c r="L8" s="5">
        <v>42</v>
      </c>
    </row>
    <row r="9" spans="1:12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2">
      <c r="A10" s="4" t="s">
        <v>46</v>
      </c>
      <c r="B10" s="5">
        <v>3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6</v>
      </c>
      <c r="K10" s="6" t="s">
        <v>69</v>
      </c>
      <c r="L10" s="7">
        <v>13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70.5" customHeight="1">
      <c r="A14" s="61" t="s">
        <v>126</v>
      </c>
      <c r="B14" s="61" t="s">
        <v>127</v>
      </c>
      <c r="C14" s="61" t="s">
        <v>128</v>
      </c>
      <c r="D14" s="61"/>
      <c r="E14" s="61" t="s">
        <v>117</v>
      </c>
      <c r="F14" s="61" t="s">
        <v>129</v>
      </c>
      <c r="G14" s="62" t="s">
        <v>125</v>
      </c>
      <c r="H14" s="62" t="s">
        <v>130</v>
      </c>
      <c r="I14" s="64" t="s">
        <v>76</v>
      </c>
      <c r="J14" s="62" t="s">
        <v>132</v>
      </c>
      <c r="K14" s="65" t="s">
        <v>131</v>
      </c>
      <c r="L14" s="68"/>
    </row>
    <row r="15" spans="1:12" ht="70.5" customHeight="1">
      <c r="A15" s="61" t="s">
        <v>133</v>
      </c>
      <c r="B15" s="61" t="s">
        <v>134</v>
      </c>
      <c r="C15" s="61" t="s">
        <v>135</v>
      </c>
      <c r="D15" s="61"/>
      <c r="E15" s="61" t="s">
        <v>117</v>
      </c>
      <c r="F15" s="61" t="s">
        <v>136</v>
      </c>
      <c r="G15" s="62" t="s">
        <v>137</v>
      </c>
      <c r="H15" s="62" t="s">
        <v>138</v>
      </c>
      <c r="I15" s="64" t="s">
        <v>76</v>
      </c>
      <c r="J15" s="62" t="s">
        <v>161</v>
      </c>
      <c r="K15" s="65" t="s">
        <v>139</v>
      </c>
      <c r="L15" s="68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63" customHeight="1">
      <c r="A22" s="61" t="s">
        <v>141</v>
      </c>
      <c r="B22" s="64">
        <v>610</v>
      </c>
      <c r="C22" s="61" t="s">
        <v>142</v>
      </c>
      <c r="D22" s="64"/>
      <c r="E22" s="61" t="s">
        <v>120</v>
      </c>
      <c r="F22" s="61" t="s">
        <v>143</v>
      </c>
      <c r="G22" s="64" t="s">
        <v>125</v>
      </c>
      <c r="H22" s="62" t="s">
        <v>144</v>
      </c>
      <c r="I22" s="64" t="s">
        <v>76</v>
      </c>
      <c r="J22" s="65" t="s">
        <v>145</v>
      </c>
      <c r="K22" s="65" t="s">
        <v>146</v>
      </c>
      <c r="L22" s="69" t="s">
        <v>85</v>
      </c>
      <c r="M22" s="19"/>
    </row>
    <row r="23" spans="1:13" ht="144.75" customHeight="1">
      <c r="A23" s="61" t="s">
        <v>147</v>
      </c>
      <c r="B23" s="64">
        <v>419</v>
      </c>
      <c r="C23" s="61" t="s">
        <v>148</v>
      </c>
      <c r="D23" s="64"/>
      <c r="E23" s="61" t="s">
        <v>117</v>
      </c>
      <c r="F23" s="61" t="s">
        <v>149</v>
      </c>
      <c r="G23" s="64" t="s">
        <v>125</v>
      </c>
      <c r="H23" s="62" t="s">
        <v>150</v>
      </c>
      <c r="I23" s="69" t="s">
        <v>81</v>
      </c>
      <c r="J23" s="62" t="s">
        <v>152</v>
      </c>
      <c r="K23" s="65" t="s">
        <v>151</v>
      </c>
      <c r="L23" s="66" t="s">
        <v>140</v>
      </c>
      <c r="M23" s="19"/>
    </row>
    <row r="24" spans="1:13" ht="144.75" customHeight="1">
      <c r="A24" s="61" t="s">
        <v>153</v>
      </c>
      <c r="B24" s="64">
        <v>405</v>
      </c>
      <c r="C24" s="61" t="s">
        <v>154</v>
      </c>
      <c r="D24" s="64"/>
      <c r="E24" s="61" t="s">
        <v>117</v>
      </c>
      <c r="F24" s="61" t="s">
        <v>155</v>
      </c>
      <c r="G24" s="64" t="s">
        <v>137</v>
      </c>
      <c r="H24" s="62" t="s">
        <v>150</v>
      </c>
      <c r="I24" s="69" t="s">
        <v>81</v>
      </c>
      <c r="J24" s="62" t="s">
        <v>152</v>
      </c>
      <c r="K24" s="65" t="s">
        <v>160</v>
      </c>
      <c r="L24" s="66" t="s">
        <v>140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3" t="s">
        <v>62</v>
      </c>
      <c r="B26" s="83"/>
      <c r="C26" s="83"/>
      <c r="D26" s="51"/>
      <c r="E26" s="51"/>
      <c r="F26" s="51"/>
      <c r="G26" s="51"/>
      <c r="H26" s="51"/>
      <c r="I26" s="51"/>
      <c r="J26" s="67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3" t="s">
        <v>70</v>
      </c>
      <c r="B29" s="73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48.75" customHeight="1">
      <c r="A31" s="61" t="s">
        <v>156</v>
      </c>
      <c r="C31" s="61" t="s">
        <v>157</v>
      </c>
      <c r="E31" s="61" t="s">
        <v>117</v>
      </c>
      <c r="F31" s="61" t="s">
        <v>158</v>
      </c>
      <c r="H31" s="62" t="s">
        <v>124</v>
      </c>
      <c r="I31" s="64" t="s">
        <v>118</v>
      </c>
      <c r="J31" s="65" t="s">
        <v>159</v>
      </c>
      <c r="K31" s="65" t="s">
        <v>121</v>
      </c>
      <c r="L31" s="66" t="s">
        <v>119</v>
      </c>
    </row>
    <row r="32" spans="1:13" ht="11.25" customHeight="1">
      <c r="A32" s="46"/>
      <c r="C32" s="46"/>
      <c r="E32" s="46"/>
      <c r="F32" s="46"/>
      <c r="H32" s="45"/>
      <c r="I32" s="58"/>
      <c r="J32" s="45"/>
      <c r="K32" s="59"/>
      <c r="L32" s="60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3" ht="12.75" customHeight="1">
      <c r="A35" s="2" t="s">
        <v>58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1.25" customHeight="1">
      <c r="A36" s="20" t="s">
        <v>57</v>
      </c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5:L35"/>
  </mergeCells>
  <phoneticPr fontId="544" type="noConversion"/>
  <dataValidations count="2">
    <dataValidation type="list" allowBlank="1" showInputMessage="1" showErrorMessage="1" sqref="L28">
      <formula1>"A. General,B. Spinal,C. Epidural,D. BPB,E. Local"</formula1>
    </dataValidation>
    <dataValidation type="list" allowBlank="1" showInputMessage="1" showErrorMessage="1" sqref="I16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Sheet1!$C$12:$C$22</xm:f>
          </x14:formula1>
          <xm:sqref>I28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>
          <x14:formula1>
            <xm:f>Sheet1!$A$1:$A$11</xm:f>
          </x14:formula1>
          <xm:sqref>I19 I32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>
          <x14:formula1>
            <xm:f>Sheet1!$H$1:$H$5</xm:f>
          </x14:formula1>
          <xm:sqref>L32</xm:sqref>
        </x14:dataValidation>
        <x14:dataValidation type="list" allowBlank="1" showInputMessage="1" showErrorMessage="1">
          <x14:formula1>
            <xm:f>'\\172.21.146.65\data\11. 당직일지\2026 당직일지\[성형외과의국일지20260103 토 유.xlsx]Sheet1'!#REF!</xm:f>
          </x14:formula1>
          <xm:sqref>L31 I31</xm:sqref>
        </x14:dataValidation>
        <x14:dataValidation type="list" allowBlank="1" showInputMessage="1" showErrorMessage="1">
          <x14:formula1>
            <xm:f>'\\172.21.146.65\data\11. 당직일지\2026 당직일지\[성형외과의국일지20260102 금 최.xlsx]Sheet1'!#REF!</xm:f>
          </x14:formula1>
          <xm:sqref>L23:L24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2" sqref="H2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2026-01-19T18:04:20Z</cp:lastPrinted>
  <dcterms:created xsi:type="dcterms:W3CDTF">2007-08-02T21:04:06Z</dcterms:created>
  <dcterms:modified xsi:type="dcterms:W3CDTF">2026-01-19T18:11:52Z</dcterms:modified>
</cp:coreProperties>
</file>