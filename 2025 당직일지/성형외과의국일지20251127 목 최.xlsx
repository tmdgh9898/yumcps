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81550FD9-F97D-4B89-86DF-EC9A8EE7A8FB}" xr6:coauthVersionLast="36" xr6:coauthVersionMax="36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<sst xmlns="http://schemas.openxmlformats.org/spreadsheetml/2006/main" count="191" uniqueCount="162">
  <si>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</si>
  <si>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</si>
  <si>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</si>
  <si>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</si>
  <si>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</si>
  <si>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</si>
  <si>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</si>
  <si>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</si>
  <si>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</si>
  <si>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</si>
  <si>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</si>
  <si>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</si>
  <si>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</si>
  <si>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</si>
  <si>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</si>
  <si>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</si>
  <si>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</si>
  <si>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</si>
  <si>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</si>
  <si>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</si>
  <si>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</si>
  <si>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</si>
  <si>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</si>
  <si>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</si>
  <si>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</si>
  <si>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</si>
  <si>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</si>
  <si>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</si>
  <si>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</si>
  <si>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</si>
  <si>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</si>
  <si>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</si>
  <si>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</si>
  <si>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</si>
  <si>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</si>
  <si>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</si>
  <si>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</si>
  <si>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</si>
  <si>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</si>
  <si>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</si>
  <si>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</si>
  <si>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</si>
  <si>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</si>
  <si>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</si>
  <si>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</si>
  <si>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</si>
  <si>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</si>
  <si>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</si>
  <si>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</si>
  <si>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</si>
  <si>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</si>
  <si>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</si>
  <si>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</si>
  <si>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</si>
  <si>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</si>
  <si>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</si>
  <si>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</si>
  <si>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</si>
  <si>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</si>
  <si>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</si>
  <si>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</si>
  <si>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</si>
  <si>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</si>
  <si>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</si>
  <si>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</si>
  <si>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</si>
  <si>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</si>
  <si>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</si>
  <si>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</si>
  <si>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</si>
  <si>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</si>
  <si>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</si>
  <si>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</si>
  <si>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</si>
  <si>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</si>
  <si>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</si>
  <si>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</si>
  <si>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</si>
  <si>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</si>
  <si>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</si>
  <si>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</si>
  <si>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</si>
  <si>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</si>
  <si>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</si>
  <si>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</si>
  <si>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</si>
  <si>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</si>
  <si>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</si>
  <si>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</si>
  <si>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</si>
  <si>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</si>
  <si>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</si>
  <si>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</si>
  <si>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</si>
  <si>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</si>
  <si>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</si>
  <si>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</si>
  <si>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</si>
  <si>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</si>
  <si>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</si>
  <si>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</si>
  <si>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</si>
  <si>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</si>
  <si>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</si>
  <si>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</si>
  <si>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</si>
  <si>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</si>
  <si>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</si>
  <si>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</si>
  <si>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</si>
  <si>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</si>
  <si>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</si>
  <si>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</si>
  <si>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</si>
  <si>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</si>
  <si>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</si>
  <si>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</si>
  <si>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F</t>
    <phoneticPr fontId="544" type="noConversion"/>
  </si>
  <si>
    <t>D1</t>
    <phoneticPr fontId="544" type="noConversion"/>
  </si>
  <si>
    <t>F. 유방, 체간 및 하지 외상, 감염 및 기타</t>
  </si>
  <si>
    <t>A. General</t>
  </si>
  <si>
    <t>419</t>
    <phoneticPr fontId="544" type="noConversion"/>
  </si>
  <si>
    <t>(목)</t>
    <phoneticPr fontId="544" type="noConversion"/>
  </si>
  <si>
    <t>19763751</t>
    <phoneticPr fontId="544" type="noConversion"/>
  </si>
  <si>
    <t>진주화</t>
    <phoneticPr fontId="544" type="noConversion"/>
  </si>
  <si>
    <t>55</t>
    <phoneticPr fontId="544" type="noConversion"/>
  </si>
  <si>
    <t>이준호/이상오</t>
    <phoneticPr fontId="544" type="noConversion"/>
  </si>
  <si>
    <t>1. Wound dehiscence on Rt. Breast
2. Breast cancer, Rt. s/p delayed breast reconstruction with breast implant, Rt.</t>
    <phoneticPr fontId="544" type="noConversion"/>
  </si>
  <si>
    <t>Debridement and wound closure</t>
    <phoneticPr fontId="544" type="noConversion"/>
  </si>
  <si>
    <t>12(13)</t>
    <phoneticPr fontId="544" type="noConversion"/>
  </si>
  <si>
    <t>10661425</t>
    <phoneticPr fontId="544" type="noConversion"/>
  </si>
  <si>
    <t>552</t>
    <phoneticPr fontId="544" type="noConversion"/>
  </si>
  <si>
    <t>송년빈</t>
    <phoneticPr fontId="544" type="noConversion"/>
  </si>
  <si>
    <t>M</t>
    <phoneticPr fontId="544" type="noConversion"/>
  </si>
  <si>
    <t>65</t>
    <phoneticPr fontId="544" type="noConversion"/>
  </si>
  <si>
    <t>D1</t>
    <phoneticPr fontId="544" type="noConversion"/>
  </si>
  <si>
    <t>김성은/추인우</t>
    <phoneticPr fontId="544" type="noConversion"/>
  </si>
  <si>
    <t>J. 피부종양</t>
  </si>
  <si>
    <t>R220</t>
    <phoneticPr fontId="544" type="noConversion"/>
  </si>
  <si>
    <t>30055538</t>
    <phoneticPr fontId="544" type="noConversion"/>
  </si>
  <si>
    <t>560</t>
    <phoneticPr fontId="544" type="noConversion"/>
  </si>
  <si>
    <t>이정희</t>
    <phoneticPr fontId="544" type="noConversion"/>
  </si>
  <si>
    <t>F</t>
    <phoneticPr fontId="544" type="noConversion"/>
  </si>
  <si>
    <t>52</t>
    <phoneticPr fontId="544" type="noConversion"/>
  </si>
  <si>
    <t>이준호/최승호</t>
    <phoneticPr fontId="544" type="noConversion"/>
  </si>
  <si>
    <t>K. 미용</t>
  </si>
  <si>
    <t>Breast cancer, Lt.</t>
    <phoneticPr fontId="544" type="noConversion"/>
  </si>
  <si>
    <t>30073019</t>
    <phoneticPr fontId="544" type="noConversion"/>
  </si>
  <si>
    <t>852</t>
    <phoneticPr fontId="544" type="noConversion"/>
  </si>
  <si>
    <t>안재희</t>
    <phoneticPr fontId="544" type="noConversion"/>
  </si>
  <si>
    <t>47</t>
    <phoneticPr fontId="544" type="noConversion"/>
  </si>
  <si>
    <t>Nasal bone fracture (lateral impact plane II)</t>
    <phoneticPr fontId="544" type="noConversion"/>
  </si>
  <si>
    <t>Closed reduction of nasal bone fracture</t>
    <phoneticPr fontId="544" type="noConversion"/>
  </si>
  <si>
    <t>김일국/이준혁</t>
    <phoneticPr fontId="544" type="noConversion"/>
  </si>
  <si>
    <t>2. Nipple areola skin sparing mastectomy with sentinel lymph node dissection, Lt.(at 'GSB' dept.)</t>
    <phoneticPr fontId="568" type="noConversion"/>
  </si>
  <si>
    <t>Mass on posterior scalp and Lt. flank</t>
    <phoneticPr fontId="544" type="noConversion"/>
  </si>
  <si>
    <t>Staff lecture : Recent research in YUMC PS (Prof. 김일국)</t>
    <phoneticPr fontId="544" type="noConversion"/>
  </si>
  <si>
    <t>Prof. 김일국</t>
    <phoneticPr fontId="544" type="noConversion"/>
  </si>
  <si>
    <t>R4 이준혁, R3 이상오, R2 이준성, 최승호, R1 유도길, 추인우</t>
    <phoneticPr fontId="544" type="noConversion"/>
  </si>
  <si>
    <t>이준호</t>
    <phoneticPr fontId="544" type="noConversion"/>
  </si>
  <si>
    <t>추인우</t>
    <phoneticPr fontId="544" type="noConversion"/>
  </si>
  <si>
    <t>1. Immediate breast reconstruction with breast implant (#1, Mentor moderate classic 130cc) and MyDerm (#1, sizeL 20x20㎠, thickness: 1.0-2.0mm, 77cc), Lt. (Prepectoral plane, Ray method)
2. Skin sparing mastectomy with sentinel lymph node dissection, Lt. (at 'GSB'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</si>
</sst>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5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2%20&#49688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16" zoomScaleSheetLayoutView="100" workbookViewId="0">
      <selection activeCell="J22" sqref="J22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45988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122</v>
      </c>
    </row>
    <row r="4" spans="1:13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159</v>
      </c>
      <c r="L4" s="81"/>
    </row>
    <row r="5" spans="1:13" ht="11.25" customHeight="1">
      <c r="A5" s="6" t="s">
        <v>26</v>
      </c>
      <c r="B5" s="6"/>
      <c r="C5" s="6"/>
      <c r="D5" s="6"/>
      <c r="E5" s="82" t="s">
        <v>107</v>
      </c>
      <c r="F5" s="83"/>
      <c r="G5" s="83"/>
      <c r="H5" s="83"/>
      <c r="I5" s="84"/>
      <c r="J5" s="4" t="s">
        <v>43</v>
      </c>
      <c r="K5" s="80" t="s">
        <v>160</v>
      </c>
      <c r="L5" s="81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66</v>
      </c>
      <c r="F8" s="5">
        <v>11</v>
      </c>
      <c r="G8" s="4" t="s">
        <v>105</v>
      </c>
      <c r="H8" s="5">
        <v>8</v>
      </c>
      <c r="I8" s="4" t="s">
        <v>37</v>
      </c>
      <c r="J8" s="5">
        <v>22</v>
      </c>
      <c r="K8" s="6" t="s">
        <v>70</v>
      </c>
      <c r="L8" s="5">
        <v>30</v>
      </c>
    </row>
    <row r="9" spans="1:13" ht="11.25" customHeight="1">
      <c r="A9" s="77" t="s">
        <v>62</v>
      </c>
      <c r="B9" s="78"/>
      <c r="C9" s="78"/>
      <c r="D9" s="78"/>
      <c r="E9" s="78"/>
      <c r="F9" s="79"/>
      <c r="G9" s="77" t="s">
        <v>65</v>
      </c>
      <c r="H9" s="78"/>
      <c r="I9" s="78"/>
      <c r="J9" s="78"/>
      <c r="K9" s="78"/>
      <c r="L9" s="79"/>
    </row>
    <row r="10" spans="1:13">
      <c r="A10" s="4" t="s">
        <v>46</v>
      </c>
      <c r="B10" s="5">
        <v>2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9</v>
      </c>
      <c r="I10" s="4" t="s">
        <v>56</v>
      </c>
      <c r="J10" s="7">
        <v>8</v>
      </c>
      <c r="K10" s="6" t="s">
        <v>70</v>
      </c>
      <c r="L10" s="7">
        <v>17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39.950000000000003" customHeight="1">
      <c r="A14" s="65" t="s">
        <v>130</v>
      </c>
      <c r="B14" s="65" t="s">
        <v>131</v>
      </c>
      <c r="C14" s="61" t="s">
        <v>132</v>
      </c>
      <c r="D14" s="61"/>
      <c r="E14" s="61" t="s">
        <v>133</v>
      </c>
      <c r="F14" s="61" t="s">
        <v>134</v>
      </c>
      <c r="G14" s="62" t="s">
        <v>135</v>
      </c>
      <c r="H14" s="62" t="s">
        <v>136</v>
      </c>
      <c r="I14" s="60" t="s">
        <v>137</v>
      </c>
      <c r="J14" s="62" t="s">
        <v>155</v>
      </c>
      <c r="K14" s="62" t="s">
        <v>138</v>
      </c>
      <c r="L14" s="62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69.95" customHeight="1">
      <c r="A18" s="67" t="s">
        <v>123</v>
      </c>
      <c r="B18" s="67" t="s">
        <v>121</v>
      </c>
      <c r="C18" s="67" t="s">
        <v>124</v>
      </c>
      <c r="D18" s="68"/>
      <c r="E18" s="67" t="s">
        <v>117</v>
      </c>
      <c r="F18" s="67" t="s">
        <v>125</v>
      </c>
      <c r="G18" s="69" t="s">
        <v>118</v>
      </c>
      <c r="H18" s="69" t="s">
        <v>126</v>
      </c>
      <c r="I18" s="66" t="s">
        <v>119</v>
      </c>
      <c r="J18" s="62" t="s">
        <v>127</v>
      </c>
      <c r="K18" s="70" t="s">
        <v>128</v>
      </c>
      <c r="L18" s="71" t="s">
        <v>120</v>
      </c>
      <c r="M18" s="61" t="s">
        <v>129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61</v>
      </c>
      <c r="B21" s="23" t="s">
        <v>21</v>
      </c>
      <c r="C21" s="23" t="s">
        <v>22</v>
      </c>
      <c r="D21" s="23" t="s">
        <v>13</v>
      </c>
      <c r="E21" s="23" t="s">
        <v>69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50" customHeight="1">
      <c r="A22" s="61" t="s">
        <v>139</v>
      </c>
      <c r="B22" s="61" t="s">
        <v>140</v>
      </c>
      <c r="C22" s="61" t="s">
        <v>141</v>
      </c>
      <c r="D22" s="61"/>
      <c r="E22" s="61" t="s">
        <v>142</v>
      </c>
      <c r="F22" s="61" t="s">
        <v>143</v>
      </c>
      <c r="G22" s="62" t="s">
        <v>135</v>
      </c>
      <c r="H22" s="62" t="s">
        <v>144</v>
      </c>
      <c r="I22" s="66" t="s">
        <v>145</v>
      </c>
      <c r="J22" s="62" t="s">
        <v>146</v>
      </c>
      <c r="K22" s="62" t="s">
        <v>161</v>
      </c>
      <c r="L22" s="60" t="s">
        <v>120</v>
      </c>
      <c r="M22" s="19"/>
    </row>
    <row r="23" spans="1:13" ht="60" customHeight="1">
      <c r="A23" s="65" t="s">
        <v>147</v>
      </c>
      <c r="B23" s="65" t="s">
        <v>148</v>
      </c>
      <c r="C23" s="61" t="s">
        <v>149</v>
      </c>
      <c r="D23" s="61"/>
      <c r="E23" s="61" t="s">
        <v>133</v>
      </c>
      <c r="F23" s="61" t="s">
        <v>150</v>
      </c>
      <c r="G23" s="62" t="s">
        <v>135</v>
      </c>
      <c r="H23" s="62" t="s">
        <v>153</v>
      </c>
      <c r="I23" s="66" t="s">
        <v>116</v>
      </c>
      <c r="J23" s="62" t="s">
        <v>151</v>
      </c>
      <c r="K23" s="62" t="s">
        <v>152</v>
      </c>
      <c r="L23" s="60" t="s">
        <v>120</v>
      </c>
      <c r="M23" s="19"/>
    </row>
    <row r="24" spans="1:13" ht="12" customHeight="1">
      <c r="A24" s="53"/>
      <c r="B24" s="53"/>
      <c r="C24" s="53"/>
      <c r="D24" s="53"/>
      <c r="E24" s="53"/>
      <c r="F24" s="53"/>
      <c r="G24" s="54"/>
      <c r="H24" s="54"/>
      <c r="I24" s="55"/>
      <c r="J24" s="54"/>
      <c r="K24" s="54"/>
      <c r="L24" s="56"/>
      <c r="M24" s="19"/>
    </row>
    <row r="25" spans="1:13" ht="11.25" customHeight="1">
      <c r="A25" s="85" t="s">
        <v>63</v>
      </c>
      <c r="B25" s="85"/>
      <c r="C25" s="85"/>
      <c r="D25" s="51"/>
      <c r="E25" s="51"/>
      <c r="F25" s="51"/>
      <c r="G25" s="51"/>
      <c r="H25" s="51"/>
      <c r="I25" s="51"/>
      <c r="J25" s="51"/>
      <c r="K25" s="51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68</v>
      </c>
      <c r="K26" s="23" t="s">
        <v>30</v>
      </c>
      <c r="L26" s="23" t="s">
        <v>7</v>
      </c>
      <c r="M26" s="11" t="s">
        <v>67</v>
      </c>
    </row>
    <row r="27" spans="1:13" ht="11.25" customHeight="1">
      <c r="A27" s="25"/>
      <c r="B27" s="25"/>
      <c r="C27" s="36"/>
      <c r="E27" s="25"/>
      <c r="F27" s="25"/>
      <c r="G27" s="25"/>
      <c r="I27" s="50"/>
      <c r="J27" s="25"/>
      <c r="K27" s="25"/>
      <c r="L27" s="26"/>
    </row>
    <row r="28" spans="1:13" ht="11.25" customHeight="1">
      <c r="A28" s="75" t="s">
        <v>71</v>
      </c>
      <c r="B28" s="75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10.5" customHeight="1">
      <c r="A30" s="52"/>
      <c r="B30" s="44"/>
      <c r="C30" s="52"/>
      <c r="D30" s="44"/>
      <c r="E30" s="52"/>
      <c r="F30" s="52"/>
      <c r="G30" s="44"/>
      <c r="H30" s="57"/>
      <c r="I30" s="58"/>
      <c r="J30" s="57"/>
      <c r="K30" s="59"/>
      <c r="L30" s="59"/>
    </row>
    <row r="31" spans="1:13" ht="11.25" customHeight="1">
      <c r="A31" s="30" t="s">
        <v>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3" ht="11.25" customHeight="1">
      <c r="A32" s="2" t="s">
        <v>59</v>
      </c>
      <c r="B32" s="72" t="s">
        <v>156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4" ht="12.75" customHeight="1">
      <c r="A33" s="2" t="s">
        <v>58</v>
      </c>
      <c r="B33" s="72" t="s">
        <v>157</v>
      </c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4" ht="11.25" customHeight="1">
      <c r="A34" s="20" t="s">
        <v>57</v>
      </c>
      <c r="B34" s="72" t="s">
        <v>158</v>
      </c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4" ht="11.25" customHeight="1">
      <c r="A35" s="63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44"/>
    </row>
    <row r="36" spans="1:14" ht="11.25" customHeight="1">
      <c r="A36" s="30" t="s">
        <v>24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4" ht="11.25" customHeight="1">
      <c r="A37" s="23" t="s">
        <v>25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4" ht="11.25" customHeight="1">
      <c r="A38" s="2" t="s">
        <v>34</v>
      </c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1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4">
    <mergeCell ref="B32:L32"/>
    <mergeCell ref="B34:L34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3:L33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2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I18:I19 I22:I23 I14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I24 L24</xm:sqref>
        </x14:dataValidation>
        <x14:dataValidation type="list" allowBlank="1" showInputMessage="1" showErrorMessage="1" xr:uid="{00000000-0002-0000-0000-000007000000}">
          <x14:formula1>
            <xm:f>Sheet1!$H$1:$H$5</xm:f>
          </x14:formula1>
          <xm:sqref>L22:L23</xm:sqref>
        </x14:dataValidation>
        <x14:dataValidation type="list" allowBlank="1" showInputMessage="1" showErrorMessage="1" xr:uid="{8BF4600A-D121-4A82-9BF3-99D7D949D147}">
          <x14:formula1>
            <xm:f>'\\172.21.146.65\data\11. 당직일지\2025 당직일지\[성형외과의국일지20251022 수 최.xlsx]Sheet1'!#REF!</xm:f>
          </x14:formula1>
          <xm:sqref>L18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I23" sqref="I23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154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114</v>
      </c>
    </row>
    <row r="24" spans="1:12" ht="326.25">
      <c r="L24" s="44" t="s">
        <v>115</v>
      </c>
    </row>
    <row r="25" spans="1:12">
      <c r="G25" s="40"/>
    </row>
    <row r="27" spans="1:12">
      <c r="B27" t="s">
        <v>96</v>
      </c>
      <c r="G27" s="41" t="s">
        <v>106</v>
      </c>
    </row>
    <row r="28" spans="1:12">
      <c r="B28" t="s">
        <v>97</v>
      </c>
    </row>
    <row r="29" spans="1:12">
      <c r="L29" t="s">
        <v>111</v>
      </c>
    </row>
    <row r="30" spans="1:12">
      <c r="B30" s="42" t="s">
        <v>110</v>
      </c>
      <c r="L30" t="s">
        <v>112</v>
      </c>
    </row>
    <row r="31" spans="1:12">
      <c r="B31" t="s">
        <v>109</v>
      </c>
      <c r="L31" t="s">
        <v>113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108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2025-11-30T04:14:26Z</cp:lastPrinted>
  <dcterms:created xsi:type="dcterms:W3CDTF">2007-08-02T21:04:06Z</dcterms:created>
  <dcterms:modified xsi:type="dcterms:W3CDTF">2025-11-30T04:14:31Z</dcterms:modified>
</cp:coreProperties>
</file>