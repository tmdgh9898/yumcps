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020673BE-5842-4AB5-8CF3-2DAA493996B1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<sst xmlns="http://schemas.openxmlformats.org/spreadsheetml/2006/main" count="213" uniqueCount="168">
  <si>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</si>
  <si>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</si>
  <si>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</si>
  <si>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</si>
  <si>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</si>
  <si>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</si>
  <si>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</si>
  <si>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</si>
  <si>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</si>
  <si>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</si>
  <si>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</si>
  <si>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</si>
  <si>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</si>
  <si>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</si>
  <si>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</si>
  <si>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</si>
  <si>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</si>
  <si>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</si>
  <si>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</si>
  <si>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</si>
  <si>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</si>
  <si>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</si>
  <si>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</si>
  <si>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</si>
  <si>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</si>
  <si>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</si>
  <si>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</si>
  <si>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</si>
  <si>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</si>
  <si>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</si>
  <si>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</si>
  <si>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</si>
  <si>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</si>
  <si>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</si>
  <si>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</si>
  <si>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</si>
  <si>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</si>
  <si>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</si>
  <si>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</si>
  <si>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</si>
  <si>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</si>
  <si>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</si>
  <si>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</si>
  <si>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</si>
  <si>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</si>
  <si>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</si>
  <si>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</si>
  <si>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</si>
  <si>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</si>
  <si>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</si>
  <si>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</si>
  <si>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</si>
  <si>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</si>
  <si>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</si>
  <si>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</si>
  <si>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</si>
  <si>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</si>
  <si>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</si>
  <si>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</si>
  <si>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</si>
  <si>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</si>
  <si>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</si>
  <si>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</si>
  <si>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</si>
  <si>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</si>
  <si>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</si>
  <si>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</si>
  <si>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</si>
  <si>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</si>
  <si>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</si>
  <si>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</si>
  <si>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</si>
  <si>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</si>
  <si>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</si>
  <si>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</si>
  <si>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</si>
  <si>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</si>
  <si>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</si>
  <si>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</si>
  <si>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</si>
  <si>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</si>
  <si>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</si>
  <si>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</si>
  <si>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</si>
  <si>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</si>
  <si>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</si>
  <si>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</si>
  <si>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</si>
  <si>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</si>
  <si>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</si>
  <si>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</si>
  <si>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</si>
  <si>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</si>
  <si>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</si>
  <si>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</si>
  <si>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</si>
  <si>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</si>
  <si>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</si>
  <si>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</si>
  <si>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</si>
  <si>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</si>
  <si>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</si>
  <si>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</si>
  <si>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</si>
  <si>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</si>
  <si>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</si>
  <si>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</si>
  <si>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</si>
  <si>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</si>
  <si>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</si>
  <si>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</si>
  <si>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</si>
  <si>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</si>
  <si>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</si>
  <si>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</si>
  <si>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</si>
  <si>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</si>
  <si>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</si>
  <si>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F. 유방, 체간 및 하지 외상, 감염 및 기타</t>
  </si>
  <si>
    <t>K. 미용</t>
  </si>
  <si>
    <t>30070905</t>
    <phoneticPr fontId="544" type="noConversion"/>
  </si>
  <si>
    <t>이현주</t>
    <phoneticPr fontId="544" type="noConversion"/>
  </si>
  <si>
    <t>F</t>
    <phoneticPr fontId="544" type="noConversion"/>
  </si>
  <si>
    <t>52</t>
    <phoneticPr fontId="544" type="noConversion"/>
  </si>
  <si>
    <t>D1</t>
    <phoneticPr fontId="544" type="noConversion"/>
  </si>
  <si>
    <t>이준호/이상오</t>
    <phoneticPr fontId="544" type="noConversion"/>
  </si>
  <si>
    <t>Breast cancer, Lt.</t>
    <phoneticPr fontId="544" type="noConversion"/>
  </si>
  <si>
    <t>A. General</t>
  </si>
  <si>
    <t>23559348</t>
    <phoneticPr fontId="544" type="noConversion"/>
  </si>
  <si>
    <t>이승아</t>
    <phoneticPr fontId="544" type="noConversion"/>
  </si>
  <si>
    <t>51</t>
    <phoneticPr fontId="544" type="noConversion"/>
  </si>
  <si>
    <t>27848468</t>
    <phoneticPr fontId="544" type="noConversion"/>
  </si>
  <si>
    <t>조은경</t>
    <phoneticPr fontId="544" type="noConversion"/>
  </si>
  <si>
    <t>33</t>
    <phoneticPr fontId="544" type="noConversion"/>
  </si>
  <si>
    <t>A</t>
    <phoneticPr fontId="544" type="noConversion"/>
  </si>
  <si>
    <t>J. 피부종양</t>
  </si>
  <si>
    <t>Mass on Lt. buttock and Lt. posterior thigh</t>
    <phoneticPr fontId="544" type="noConversion"/>
  </si>
  <si>
    <t>Excision and biopsy</t>
    <phoneticPr fontId="544" type="noConversion"/>
  </si>
  <si>
    <t>김일국/추인우</t>
    <phoneticPr fontId="544" type="noConversion"/>
  </si>
  <si>
    <t>(금)</t>
    <phoneticPr fontId="544" type="noConversion"/>
  </si>
  <si>
    <t>1. Immediate breast reconstruction with breast implant (#1, Mentor moderate classic 300cc) and MyDerm (#1, size: 20x20㎠, thickness: 1.0-2.0mm, 40cc), Lt. (Prepectoral plane, Ray method)
2. Nipple sparing mastectomy with sentinel lymph node dissection, Lt. (at 'GSB' dept.)</t>
    <phoneticPr fontId="544" type="noConversion"/>
  </si>
  <si>
    <t>23233783</t>
    <phoneticPr fontId="544" type="noConversion"/>
  </si>
  <si>
    <t>한영희</t>
    <phoneticPr fontId="544" type="noConversion"/>
  </si>
  <si>
    <t>F</t>
    <phoneticPr fontId="544" type="noConversion"/>
  </si>
  <si>
    <t>51</t>
    <phoneticPr fontId="544" type="noConversion"/>
  </si>
  <si>
    <t>E</t>
    <phoneticPr fontId="544" type="noConversion"/>
  </si>
  <si>
    <t>김성은/추인우</t>
    <phoneticPr fontId="544" type="noConversion"/>
  </si>
  <si>
    <t>B. 두경부 종양</t>
  </si>
  <si>
    <t>C049</t>
    <phoneticPr fontId="544" type="noConversion"/>
  </si>
  <si>
    <t>R229</t>
    <phoneticPr fontId="544" type="noConversion"/>
  </si>
  <si>
    <t>김일국/이준성</t>
    <phoneticPr fontId="544" type="noConversion"/>
  </si>
  <si>
    <t>Explantation, Lt. breast</t>
    <phoneticPr fontId="544" type="noConversion"/>
  </si>
  <si>
    <t>30076358</t>
    <phoneticPr fontId="544" type="noConversion"/>
  </si>
  <si>
    <t>박정미
22:43
23:43</t>
    <phoneticPr fontId="544" type="noConversion"/>
  </si>
  <si>
    <t>F</t>
    <phoneticPr fontId="544" type="noConversion"/>
  </si>
  <si>
    <t>52</t>
    <phoneticPr fontId="544" type="noConversion"/>
  </si>
  <si>
    <t>유도길</t>
    <phoneticPr fontId="544" type="noConversion"/>
  </si>
  <si>
    <t>C. 두경부 외상,감염 및 기타</t>
  </si>
  <si>
    <t>1. Nasal bone fracture (frontal impact plane I)
2. Laceration on forehead</t>
    <phoneticPr fontId="544" type="noConversion"/>
  </si>
  <si>
    <t>1. Primary closure
2. ICE pack apply</t>
    <phoneticPr fontId="544" type="noConversion"/>
  </si>
  <si>
    <t>이준호</t>
    <phoneticPr fontId="544" type="noConversion"/>
  </si>
  <si>
    <t>2025-12-16
2025-12-01
2025-11-17</t>
    <phoneticPr fontId="544" type="noConversion"/>
  </si>
  <si>
    <t>10(41)
25(41)
39(41)</t>
    <phoneticPr fontId="544" type="noConversion"/>
  </si>
  <si>
    <t>1. Open wound on submandible area s/p debridement and wound closure
2. Recurrent squamous cell carcinoma on mouth floor s/p pectoralis major myocutaneous flap on submandible area
(Transfer in from 'EN' dept.)</t>
    <phoneticPr fontId="544" type="noConversion"/>
  </si>
  <si>
    <t>0</t>
    <phoneticPr fontId="544" type="noConversion"/>
  </si>
  <si>
    <t>1. Open wound on submandible area s/p debridement and wound closure
2. Recurrent squamous cell carcinoma on mouth floor s/p pectoralis major myocutaneous flap on submandible area
(Transfer out to 'IMH' dept.)</t>
    <phoneticPr fontId="544" type="noConversion"/>
  </si>
  <si>
    <t>1. Breast cancer, Rt. s/p explantation, Rt. breast
2. Breast cancer, Lt. s/p immediate breast reconstruction with tissue expander, Lt.</t>
    <phoneticPr fontId="544" type="noConversion"/>
  </si>
  <si>
    <t>1. Debridement and wound closure
2. Irrigation and debridement
3. Pectoralis major myocutaneous flap on submandible area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</si>
</sst>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13" zoomScaleSheetLayoutView="100" workbookViewId="0">
      <selection activeCell="K15" sqref="K1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46017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139</v>
      </c>
    </row>
    <row r="4" spans="1:12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160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156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54</v>
      </c>
      <c r="B8" s="5">
        <v>2</v>
      </c>
      <c r="C8" s="4" t="s">
        <v>45</v>
      </c>
      <c r="D8" s="5">
        <v>1</v>
      </c>
      <c r="E8" s="4" t="s">
        <v>65</v>
      </c>
      <c r="F8" s="5">
        <v>10</v>
      </c>
      <c r="G8" s="4" t="s">
        <v>104</v>
      </c>
      <c r="H8" s="5">
        <v>1</v>
      </c>
      <c r="I8" s="4" t="s">
        <v>37</v>
      </c>
      <c r="J8" s="5">
        <v>8</v>
      </c>
      <c r="K8" s="6" t="s">
        <v>69</v>
      </c>
      <c r="L8" s="5">
        <v>9</v>
      </c>
    </row>
    <row r="9" spans="1:12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4</v>
      </c>
      <c r="K10" s="6" t="s">
        <v>69</v>
      </c>
      <c r="L10" s="7">
        <v>9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39.950000000000003" customHeight="1">
      <c r="A14" s="61" t="s">
        <v>131</v>
      </c>
      <c r="B14" s="59">
        <v>869</v>
      </c>
      <c r="C14" s="60" t="s">
        <v>132</v>
      </c>
      <c r="D14" s="60"/>
      <c r="E14" s="60" t="s">
        <v>122</v>
      </c>
      <c r="F14" s="60" t="s">
        <v>133</v>
      </c>
      <c r="G14" s="59" t="s">
        <v>23</v>
      </c>
      <c r="H14" s="68" t="s">
        <v>138</v>
      </c>
      <c r="I14" s="62" t="s">
        <v>135</v>
      </c>
      <c r="J14" s="58" t="s">
        <v>136</v>
      </c>
      <c r="K14" s="58" t="s">
        <v>149</v>
      </c>
      <c r="L14" s="58"/>
    </row>
    <row r="15" spans="1:12" ht="99.95" customHeight="1">
      <c r="A15" s="61" t="s">
        <v>141</v>
      </c>
      <c r="B15" s="59">
        <v>3001</v>
      </c>
      <c r="C15" s="60" t="s">
        <v>142</v>
      </c>
      <c r="D15" s="60"/>
      <c r="E15" s="60" t="s">
        <v>143</v>
      </c>
      <c r="F15" s="60" t="s">
        <v>144</v>
      </c>
      <c r="G15" s="59" t="s">
        <v>145</v>
      </c>
      <c r="H15" s="68" t="s">
        <v>146</v>
      </c>
      <c r="I15" s="62" t="s">
        <v>147</v>
      </c>
      <c r="J15" s="58" t="s">
        <v>163</v>
      </c>
      <c r="K15" s="58" t="s">
        <v>148</v>
      </c>
      <c r="L15" s="58" t="s">
        <v>164</v>
      </c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99.95" customHeight="1">
      <c r="A19" s="61" t="s">
        <v>141</v>
      </c>
      <c r="B19" s="59">
        <v>3001</v>
      </c>
      <c r="C19" s="60" t="s">
        <v>142</v>
      </c>
      <c r="D19" s="60"/>
      <c r="E19" s="60" t="s">
        <v>122</v>
      </c>
      <c r="F19" s="60" t="s">
        <v>130</v>
      </c>
      <c r="G19" s="59" t="s">
        <v>145</v>
      </c>
      <c r="H19" s="68" t="s">
        <v>146</v>
      </c>
      <c r="I19" s="62" t="s">
        <v>147</v>
      </c>
      <c r="J19" s="58" t="s">
        <v>165</v>
      </c>
      <c r="K19" s="58" t="s">
        <v>167</v>
      </c>
      <c r="L19" s="58" t="s">
        <v>161</v>
      </c>
      <c r="M19" s="60" t="s">
        <v>162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50" customHeight="1">
      <c r="A23" s="61" t="s">
        <v>120</v>
      </c>
      <c r="B23" s="59">
        <v>416</v>
      </c>
      <c r="C23" s="60" t="s">
        <v>121</v>
      </c>
      <c r="D23" s="60"/>
      <c r="E23" s="60" t="s">
        <v>122</v>
      </c>
      <c r="F23" s="60" t="s">
        <v>123</v>
      </c>
      <c r="G23" s="59" t="s">
        <v>124</v>
      </c>
      <c r="H23" s="68" t="s">
        <v>125</v>
      </c>
      <c r="I23" s="62" t="s">
        <v>119</v>
      </c>
      <c r="J23" s="58" t="s">
        <v>126</v>
      </c>
      <c r="K23" s="58" t="s">
        <v>140</v>
      </c>
      <c r="L23" s="38" t="s">
        <v>127</v>
      </c>
      <c r="M23" s="19"/>
    </row>
    <row r="24" spans="1:13" ht="80.099999999999994" customHeight="1">
      <c r="A24" s="67" t="s">
        <v>128</v>
      </c>
      <c r="B24" s="59">
        <v>860</v>
      </c>
      <c r="C24" s="67" t="s">
        <v>129</v>
      </c>
      <c r="D24" s="59"/>
      <c r="E24" s="67" t="s">
        <v>122</v>
      </c>
      <c r="F24" s="67" t="s">
        <v>130</v>
      </c>
      <c r="G24" s="59" t="s">
        <v>124</v>
      </c>
      <c r="H24" s="68" t="s">
        <v>125</v>
      </c>
      <c r="I24" s="66" t="s">
        <v>118</v>
      </c>
      <c r="J24" s="68" t="s">
        <v>166</v>
      </c>
      <c r="K24" s="58" t="s">
        <v>151</v>
      </c>
      <c r="L24" s="38" t="s">
        <v>127</v>
      </c>
      <c r="M24" s="19"/>
    </row>
    <row r="25" spans="1:13" ht="39.950000000000003" customHeight="1">
      <c r="A25" s="61" t="s">
        <v>131</v>
      </c>
      <c r="B25" s="59">
        <v>869</v>
      </c>
      <c r="C25" s="60" t="s">
        <v>132</v>
      </c>
      <c r="D25" s="60"/>
      <c r="E25" s="60" t="s">
        <v>122</v>
      </c>
      <c r="F25" s="60" t="s">
        <v>133</v>
      </c>
      <c r="G25" s="59" t="s">
        <v>134</v>
      </c>
      <c r="H25" s="68" t="s">
        <v>150</v>
      </c>
      <c r="I25" s="62" t="s">
        <v>135</v>
      </c>
      <c r="J25" s="58" t="s">
        <v>136</v>
      </c>
      <c r="K25" s="58" t="s">
        <v>137</v>
      </c>
      <c r="L25" s="38" t="s">
        <v>117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3" t="s">
        <v>62</v>
      </c>
      <c r="B27" s="83"/>
      <c r="C27" s="83"/>
      <c r="D27" s="51"/>
      <c r="E27" s="51"/>
      <c r="F27" s="51"/>
      <c r="G27" s="51"/>
      <c r="H27" s="51"/>
      <c r="I27" s="51"/>
      <c r="J27" s="51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3" t="s">
        <v>70</v>
      </c>
      <c r="B30" s="73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50.1" customHeight="1">
      <c r="A32" s="61" t="s">
        <v>152</v>
      </c>
      <c r="C32" s="60" t="s">
        <v>153</v>
      </c>
      <c r="E32" s="60" t="s">
        <v>154</v>
      </c>
      <c r="F32" s="60" t="s">
        <v>155</v>
      </c>
      <c r="H32" s="58" t="s">
        <v>156</v>
      </c>
      <c r="I32" s="66" t="s">
        <v>157</v>
      </c>
      <c r="J32" s="58" t="s">
        <v>158</v>
      </c>
      <c r="K32" s="58" t="s">
        <v>159</v>
      </c>
      <c r="L32" s="69" t="s">
        <v>117</v>
      </c>
    </row>
    <row r="33" spans="1:13" ht="11.25" customHeight="1">
      <c r="A33" s="46"/>
      <c r="C33" s="46"/>
      <c r="E33" s="46"/>
      <c r="F33" s="46"/>
      <c r="H33" s="45"/>
      <c r="I33" s="63"/>
      <c r="J33" s="45"/>
      <c r="K33" s="64"/>
      <c r="L33" s="65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2.75" customHeight="1">
      <c r="A36" s="2" t="s">
        <v>58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3" ht="11.25" customHeight="1">
      <c r="A37" s="20" t="s">
        <v>57</v>
      </c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6:L36"/>
    <mergeCell ref="B37:L37"/>
    <mergeCell ref="B35:L35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33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I14:I15 I23:I25 I19:I20 I32:I33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11228EA6-2013-4AE0-BA95-BD9D8110E5E3}">
          <x14:formula1>
            <xm:f>Sheet1!$H$1:$H$6</xm:f>
          </x14:formula1>
          <xm:sqref>L23:L25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L32:L33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2025-12-27T12:28:05Z</cp:lastPrinted>
  <dcterms:created xsi:type="dcterms:W3CDTF">2007-08-02T21:04:06Z</dcterms:created>
  <dcterms:modified xsi:type="dcterms:W3CDTF">2025-12-28T08:54:28Z</dcterms:modified>
</cp:coreProperties>
</file>