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95B100C7-7B8A-414F-8B5B-8852EED27C3F}" xr6:coauthVersionLast="36" xr6:coauthVersionMax="47" xr10:uidLastSave="{00000000-0000-0000-0000-000000000000}"/>
  <bookViews>
    <workbookView xWindow="28740" yWindow="-60" windowWidth="19320" windowHeight="15480"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출력!$A$1:$M$49</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<sst xmlns="http://schemas.openxmlformats.org/spreadsheetml/2006/main" count="297" uniqueCount="228">
  <si>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</si>
  <si>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</si>
  <si>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</si>
  <si>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</si>
  <si>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</si>
  <si>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</si>
  <si>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</si>
  <si>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</si>
  <si>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</si>
  <si>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</si>
  <si>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</si>
  <si>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</si>
  <si>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</si>
  <si>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</si>
  <si>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</si>
  <si>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</si>
  <si>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</si>
  <si>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</si>
  <si>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</si>
  <si>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</si>
  <si>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</si>
  <si>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</si>
  <si>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</si>
  <si>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</si>
  <si>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</si>
  <si>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</si>
  <si>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</si>
  <si>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</si>
  <si>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</si>
  <si>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</si>
  <si>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</si>
  <si>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</si>
  <si>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</si>
  <si>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</si>
  <si>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</si>
  <si>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</si>
  <si>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</si>
  <si>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</si>
  <si>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</si>
  <si>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</si>
  <si>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</si>
  <si>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</si>
  <si>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</si>
  <si>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</si>
  <si>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</si>
  <si>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</si>
  <si>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</si>
  <si>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</si>
  <si>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</si>
  <si>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</si>
  <si>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</si>
  <si>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</si>
  <si>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</si>
  <si>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</si>
  <si>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</si>
  <si>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</si>
  <si>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</si>
  <si>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</si>
  <si>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</si>
  <si>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</si>
  <si>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</si>
  <si>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</si>
  <si>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</si>
  <si>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</si>
  <si>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</si>
  <si>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</si>
  <si>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</si>
  <si>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</si>
  <si>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</si>
  <si>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</si>
  <si>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</si>
  <si>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</si>
  <si>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</si>
  <si>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</si>
  <si>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</si>
  <si>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</si>
  <si>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</si>
  <si>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</si>
  <si>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</si>
  <si>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</si>
  <si>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</si>
  <si>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</si>
  <si>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</si>
  <si>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</si>
  <si>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</si>
  <si>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</si>
  <si>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</si>
  <si>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</si>
  <si>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</si>
  <si>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</si>
  <si>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</si>
  <si>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</si>
  <si>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</si>
  <si>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</si>
  <si>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</si>
  <si>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</si>
  <si>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</si>
  <si>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</si>
  <si>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</si>
  <si>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</si>
  <si>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</si>
  <si>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</si>
  <si>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</si>
  <si>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</si>
  <si>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</si>
  <si>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</si>
  <si>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</si>
  <si>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</si>
  <si>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</si>
  <si>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</si>
  <si>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</si>
  <si>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</si>
  <si>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</si>
  <si>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</si>
  <si>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</si>
  <si>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</si>
  <si>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</si>
  <si>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E. Local</t>
  </si>
  <si>
    <t>F. 유방, 체간 및 하지 외상, 감염 및 기타</t>
  </si>
  <si>
    <t>A. General</t>
  </si>
  <si>
    <t>M</t>
    <phoneticPr fontId="544" type="noConversion"/>
  </si>
  <si>
    <t>D1</t>
    <phoneticPr fontId="544" type="noConversion"/>
  </si>
  <si>
    <t>F</t>
    <phoneticPr fontId="544" type="noConversion"/>
  </si>
  <si>
    <t>K. 미용</t>
  </si>
  <si>
    <t>47</t>
    <phoneticPr fontId="544" type="noConversion"/>
  </si>
  <si>
    <t>Breast cancer, Rt.</t>
    <phoneticPr fontId="544" type="noConversion"/>
  </si>
  <si>
    <t>413</t>
    <phoneticPr fontId="544" type="noConversion"/>
  </si>
  <si>
    <t>416</t>
    <phoneticPr fontId="544" type="noConversion"/>
  </si>
  <si>
    <t>김일국/추인우</t>
    <phoneticPr fontId="544" type="noConversion"/>
  </si>
  <si>
    <t>C. 두경부 외상,감염 및 기타</t>
  </si>
  <si>
    <t>Closed reduction of nasal bone fracture</t>
    <phoneticPr fontId="544" type="noConversion"/>
  </si>
  <si>
    <t>이준호/유도길</t>
    <phoneticPr fontId="544" type="noConversion"/>
  </si>
  <si>
    <t>Journal conference (PRS 156-4 pediatric/craniofacial, CME, PRS 156-5 breast)</t>
    <phoneticPr fontId="544" type="noConversion"/>
  </si>
  <si>
    <t>R4 이준혁, R2 이준성, R1 유도길</t>
    <phoneticPr fontId="544" type="noConversion"/>
  </si>
  <si>
    <t>Prof. 김용하, 김태곤, 이준호, 김일국, 김성은, R4 이준혁, R3 이상오, R2 이준성, 최승호, R1 유도길, 추인우</t>
    <phoneticPr fontId="544" type="noConversion"/>
  </si>
  <si>
    <t>25186474</t>
    <phoneticPr fontId="544" type="noConversion"/>
  </si>
  <si>
    <t>김성곤
20:24
21:18</t>
    <phoneticPr fontId="544" type="noConversion"/>
  </si>
  <si>
    <t>M</t>
    <phoneticPr fontId="544" type="noConversion"/>
  </si>
  <si>
    <t>65</t>
    <phoneticPr fontId="544" type="noConversion"/>
  </si>
  <si>
    <t>추인우</t>
    <phoneticPr fontId="544" type="noConversion"/>
  </si>
  <si>
    <t>Primary closure</t>
    <phoneticPr fontId="544" type="noConversion"/>
  </si>
  <si>
    <t>30070586</t>
    <phoneticPr fontId="544" type="noConversion"/>
  </si>
  <si>
    <t>전애란</t>
    <phoneticPr fontId="544" type="noConversion"/>
  </si>
  <si>
    <t>666</t>
    <phoneticPr fontId="544" type="noConversion"/>
  </si>
  <si>
    <t>F</t>
    <phoneticPr fontId="544" type="noConversion"/>
  </si>
  <si>
    <t>57</t>
    <phoneticPr fontId="544" type="noConversion"/>
  </si>
  <si>
    <t>D1</t>
    <phoneticPr fontId="544" type="noConversion"/>
  </si>
  <si>
    <t>김태곤/이준혁</t>
    <phoneticPr fontId="544" type="noConversion"/>
  </si>
  <si>
    <t>30073283</t>
    <phoneticPr fontId="544" type="noConversion"/>
  </si>
  <si>
    <t>54</t>
    <phoneticPr fontId="544" type="noConversion"/>
  </si>
  <si>
    <t>박현준</t>
    <phoneticPr fontId="544" type="noConversion"/>
  </si>
  <si>
    <t>김일국/이상오</t>
    <phoneticPr fontId="544" type="noConversion"/>
  </si>
  <si>
    <t>30054879</t>
    <phoneticPr fontId="544" type="noConversion"/>
  </si>
  <si>
    <t>이은숙</t>
    <phoneticPr fontId="544" type="noConversion"/>
  </si>
  <si>
    <t>419</t>
    <phoneticPr fontId="544" type="noConversion"/>
  </si>
  <si>
    <t>40</t>
    <phoneticPr fontId="544" type="noConversion"/>
  </si>
  <si>
    <t>이준호/이상오</t>
    <phoneticPr fontId="544" type="noConversion"/>
  </si>
  <si>
    <t>30073255</t>
    <phoneticPr fontId="544" type="noConversion"/>
  </si>
  <si>
    <t>OPD</t>
    <phoneticPr fontId="544" type="noConversion"/>
  </si>
  <si>
    <t>백윤점</t>
    <phoneticPr fontId="544" type="noConversion"/>
  </si>
  <si>
    <t>58</t>
    <phoneticPr fontId="544" type="noConversion"/>
  </si>
  <si>
    <t>E</t>
    <phoneticPr fontId="544" type="noConversion"/>
  </si>
  <si>
    <t>김일국/이준성</t>
    <phoneticPr fontId="544" type="noConversion"/>
  </si>
  <si>
    <t>Intramuscular mass on Rt. flank</t>
    <phoneticPr fontId="544" type="noConversion"/>
  </si>
  <si>
    <t>Excision and biopsy</t>
  </si>
  <si>
    <t>Excision and biopsy</t>
    <phoneticPr fontId="544" type="noConversion"/>
  </si>
  <si>
    <t>E. 유방, 체간 및 하지 종양</t>
  </si>
  <si>
    <t>14516619</t>
    <phoneticPr fontId="544" type="noConversion"/>
  </si>
  <si>
    <t>채정숙</t>
    <phoneticPr fontId="544" type="noConversion"/>
  </si>
  <si>
    <t>55</t>
    <phoneticPr fontId="544" type="noConversion"/>
  </si>
  <si>
    <t>김성은/이준성</t>
    <phoneticPr fontId="544" type="noConversion"/>
  </si>
  <si>
    <t>J. 피부종양</t>
  </si>
  <si>
    <t>Neurofibroma on face, both forearm, Rt. foot and Lt. thigh</t>
    <phoneticPr fontId="544" type="noConversion"/>
  </si>
  <si>
    <t>15594234</t>
    <phoneticPr fontId="544" type="noConversion"/>
  </si>
  <si>
    <t>양봉열</t>
    <phoneticPr fontId="544" type="noConversion"/>
  </si>
  <si>
    <t>70</t>
    <phoneticPr fontId="544" type="noConversion"/>
  </si>
  <si>
    <t>Mass on Lt. antihelix of ear</t>
  </si>
  <si>
    <t>28949593</t>
    <phoneticPr fontId="544" type="noConversion"/>
  </si>
  <si>
    <t>409</t>
    <phoneticPr fontId="544" type="noConversion"/>
  </si>
  <si>
    <t>정은선</t>
    <phoneticPr fontId="544" type="noConversion"/>
  </si>
  <si>
    <t>43</t>
    <phoneticPr fontId="544" type="noConversion"/>
  </si>
  <si>
    <t>1. Immediate breast reconstruction with tissue expander (#1, Mentor medium height CPX4 350cc) and CGCryoderm (size: 4x8㎠, thickness: 2.0-3.0mm, #1, size: 8x15㎠, thickness: 1.0-2.0mm, #1, size: 12x20㎠, thickness: 1.0-2.0mm, #1, total 77cc), Rt. (Prepectoral plane, Ray method)
2. Skin sparing mastectomy, Rt. (at 'GSB' dept.)</t>
    <phoneticPr fontId="544" type="noConversion"/>
  </si>
  <si>
    <t>2025-11-19</t>
    <phoneticPr fontId="544" type="noConversion"/>
  </si>
  <si>
    <t>13(15)</t>
    <phoneticPr fontId="544" type="noConversion"/>
  </si>
  <si>
    <t>30073019</t>
    <phoneticPr fontId="544" type="noConversion"/>
  </si>
  <si>
    <t>852</t>
    <phoneticPr fontId="544" type="noConversion"/>
  </si>
  <si>
    <t>안재희</t>
    <phoneticPr fontId="544" type="noConversion"/>
  </si>
  <si>
    <t>Nasal bone fracture (lateral impact plane II)</t>
    <phoneticPr fontId="544" type="noConversion"/>
  </si>
  <si>
    <t>2025-11-27</t>
    <phoneticPr fontId="544" type="noConversion"/>
  </si>
  <si>
    <t>5(7)</t>
    <phoneticPr fontId="544" type="noConversion"/>
  </si>
  <si>
    <t>10661425</t>
    <phoneticPr fontId="544" type="noConversion"/>
  </si>
  <si>
    <t>552</t>
    <phoneticPr fontId="544" type="noConversion"/>
  </si>
  <si>
    <t>송년빈</t>
    <phoneticPr fontId="544" type="noConversion"/>
  </si>
  <si>
    <t>65</t>
    <phoneticPr fontId="544" type="noConversion"/>
  </si>
  <si>
    <t>Mass on posterior scalp and Lt. flank</t>
    <phoneticPr fontId="544" type="noConversion"/>
  </si>
  <si>
    <t>Excison and biopsy</t>
    <phoneticPr fontId="544" type="noConversion"/>
  </si>
  <si>
    <t>4(6)</t>
    <phoneticPr fontId="544" type="noConversion"/>
  </si>
  <si>
    <t>2025-11-28</t>
    <phoneticPr fontId="544" type="noConversion"/>
  </si>
  <si>
    <t>30066448</t>
    <phoneticPr fontId="544" type="noConversion"/>
  </si>
  <si>
    <t>김계림</t>
    <phoneticPr fontId="544" type="noConversion"/>
  </si>
  <si>
    <t>C5091
Z4111</t>
    <phoneticPr fontId="544" type="noConversion"/>
  </si>
  <si>
    <t>30067862</t>
    <phoneticPr fontId="544" type="noConversion"/>
  </si>
  <si>
    <t>황경애</t>
    <phoneticPr fontId="544" type="noConversion"/>
  </si>
  <si>
    <t>52</t>
    <phoneticPr fontId="544" type="noConversion"/>
  </si>
  <si>
    <t>D0591
Z4111</t>
    <phoneticPr fontId="544" type="noConversion"/>
  </si>
  <si>
    <t>Breast cancer, Lt. s/p immediate breast reconstruction with breast implant, Lt.
(Transfer in from 'GSB' dept.)</t>
    <phoneticPr fontId="544" type="noConversion"/>
  </si>
  <si>
    <t>김성은/추인우</t>
    <phoneticPr fontId="544" type="noConversion"/>
  </si>
  <si>
    <t>17128130</t>
    <phoneticPr fontId="544" type="noConversion"/>
  </si>
  <si>
    <t>조경조</t>
    <phoneticPr fontId="544" type="noConversion"/>
  </si>
  <si>
    <t>807</t>
    <phoneticPr fontId="544" type="noConversion"/>
  </si>
  <si>
    <t>50</t>
    <phoneticPr fontId="544" type="noConversion"/>
  </si>
  <si>
    <t>이준호/유도길</t>
    <phoneticPr fontId="544" type="noConversion"/>
  </si>
  <si>
    <t>C5090
Z4111</t>
    <phoneticPr fontId="544" type="noConversion"/>
  </si>
  <si>
    <t>1. Capsular contracture, Lt. breast
2. Implant rupture, Rt. breast
3. Breast cancer, both s/p immediate breast reconstruction with breast implant, both</t>
    <phoneticPr fontId="544" type="noConversion"/>
  </si>
  <si>
    <t>806</t>
    <phoneticPr fontId="544" type="noConversion"/>
  </si>
  <si>
    <t>30069652</t>
    <phoneticPr fontId="544" type="noConversion"/>
  </si>
  <si>
    <t>김근한</t>
    <phoneticPr fontId="544" type="noConversion"/>
  </si>
  <si>
    <t>52</t>
    <phoneticPr fontId="544" type="noConversion"/>
  </si>
  <si>
    <t>Pressure injury on coccygeal area (stage IV)</t>
    <phoneticPr fontId="544" type="noConversion"/>
  </si>
  <si>
    <t>L893</t>
    <phoneticPr fontId="544" type="noConversion"/>
  </si>
  <si>
    <t>1. Open wound on Rt. foot s/p debridement and anterolateral thigh perforator free flap on Rt. foot
2. DM foot, Rt.</t>
    <phoneticPr fontId="544" type="noConversion"/>
  </si>
  <si>
    <t>Debridement and anterolateral thigh perforator free flap on Rt. foot (size: 13x7㎠, donor: Lt. thigh)</t>
    <phoneticPr fontId="544" type="noConversion"/>
  </si>
  <si>
    <t>1. Breast cancer, Lt.
2. s/p risk reducing nipple sparing mastectomy, Rt. (BRCA 2+) (at 'GSB' dept.)</t>
    <phoneticPr fontId="544" type="noConversion"/>
  </si>
  <si>
    <t>1. Immediate breast reconstruction with breast implant (#1, Mentor moderate classic 385cc) and MyDerm (#1, size: 20x20㎠, thickness: 1.0-2.0mm, 61cc), Lt. (Prepectoral plane, Ray method)
2. Immediate breast reconstruction with breast implant (#1, Mentor moderate classic 340cc) and SCDerm (#1, size: 20x20㎠, thickness: 1.0-2.0mm, 77cc), Rt. (Prepectoral plane, Ray method)
3. Nipple sparing mastectomy with sentinel node dissection, Lt. (at 'GSB' dept.)
4. s/p risk reducing nipple sparing mastectomy, Rt. (BRCA 2+) (at 'GSB' dept.)</t>
    <phoneticPr fontId="544" type="noConversion"/>
  </si>
  <si>
    <t>(화)</t>
    <phoneticPr fontId="544" type="noConversion"/>
  </si>
  <si>
    <t>Penetration injury on Lt. lower lip</t>
    <phoneticPr fontId="544" type="noConversion"/>
  </si>
  <si>
    <t>1. NEO fracture, both (type II)
2. Blowout fracture, both medial and inferior walls
3. Lt. superior and Rt. inferior orbital rim fracture
4. Rt. anterior maxillary wall fracture
5. Laceration on Lt. eyebrow, Lt. upper eyelid, Lt. medial canthus and Rt. cheek s/p primary closure</t>
    <phoneticPr fontId="544" type="noConversion"/>
  </si>
  <si>
    <t>1. Open reduction and internal fixation of Rt. inferior orbital rim fracture with titanium microplate (Matrixmidface (#1), 5-hole, 4mm screw (#2), 3mm screw (#1))
2. Closed reduction of nasal bone fracture
3. Debridement and wound closure</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</si>
</sst>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8">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right" vertical="center" wrapText="1"/>
    </xf>
    <xf numFmtId="0" fontId="545" fillId="0" borderId="0" xfId="0" applyFont="1" applyBorder="1" applyAlignment="1">
      <alignment horizontal="right" vertical="center" wrapText="1"/>
    </xf>
    <xf numFmtId="0" fontId="545" fillId="0" borderId="1" xfId="0" applyFont="1" applyBorder="1">
      <alignment vertical="center"/>
    </xf>
    <xf numFmtId="0" fontId="545" fillId="0" borderId="1" xfId="0" applyFont="1" applyBorder="1" applyAlignment="1">
      <alignment horizontal="left" vertical="center" wrapText="1"/>
    </xf>
    <xf numFmtId="49" fontId="573" fillId="0" borderId="1" xfId="0" applyNumberFormat="1" applyFont="1" applyBorder="1" applyAlignment="1">
      <alignment horizontal="right" vertical="center" wrapText="1"/>
    </xf>
    <xf numFmtId="49" fontId="546" fillId="0" borderId="1" xfId="0" applyNumberFormat="1" applyFont="1" applyBorder="1" applyAlignment="1">
      <alignment horizontal="righ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0" fontId="572" fillId="0" borderId="1" xfId="0" applyFont="1" applyBorder="1">
      <alignment vertical="center"/>
    </xf>
    <xf numFmtId="49" fontId="546" fillId="0" borderId="1" xfId="0" applyNumberFormat="1" applyFont="1" applyFill="1" applyBorder="1" applyAlignment="1">
      <alignment horizontal="center" vertical="center" wrapText="1"/>
    </xf>
    <xf numFmtId="49" fontId="573" fillId="0" borderId="1" xfId="0" applyNumberFormat="1" applyFont="1" applyBorder="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126%20&#4968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9457;&#54805;&#50808;&#44284;&#51032;&#44397;&#51068;&#51648;20251127%20&#4778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9457;&#54805;&#50808;&#44284;&#51032;&#44397;&#51068;&#51648;20251128%20&#4455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84"/>
  <sheetViews>
    <sheetView showGridLines="0" tabSelected="1" view="pageBreakPreview" topLeftCell="A19" zoomScaleSheetLayoutView="100" workbookViewId="0">
      <selection activeCell="C21" sqref="C21:K23"/>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2" ht="11.25" customHeight="1">
      <c r="A1" s="8"/>
      <c r="B1" s="9"/>
      <c r="C1" s="78" t="s">
        <v>19</v>
      </c>
      <c r="D1" s="78"/>
      <c r="E1" s="78"/>
      <c r="F1" s="78"/>
      <c r="G1" s="78"/>
      <c r="H1" s="78"/>
      <c r="I1" s="78"/>
      <c r="J1" s="78"/>
      <c r="K1" s="78"/>
      <c r="L1" s="10"/>
    </row>
    <row r="2" spans="1:12">
      <c r="A2" s="3"/>
      <c r="B2" s="3"/>
      <c r="C2" s="3"/>
      <c r="D2" s="3"/>
      <c r="E2" s="3"/>
      <c r="F2" s="3"/>
      <c r="G2" s="3"/>
      <c r="H2" s="3"/>
      <c r="I2" s="3"/>
      <c r="J2" s="3"/>
      <c r="K2" s="12" t="s">
        <v>48</v>
      </c>
      <c r="L2" s="49">
        <v>45993</v>
      </c>
    </row>
    <row r="3" spans="1:12">
      <c r="A3" s="3"/>
      <c r="B3" s="3"/>
      <c r="C3" s="3"/>
      <c r="D3" s="3" t="s">
        <v>29</v>
      </c>
      <c r="E3" s="3"/>
      <c r="F3" s="3"/>
      <c r="G3" s="3"/>
      <c r="H3" s="3"/>
      <c r="I3" s="3"/>
      <c r="J3" s="3"/>
      <c r="K3" s="3"/>
      <c r="L3" s="3" t="s">
        <v>224</v>
      </c>
    </row>
    <row r="4" spans="1:12" ht="11.25" customHeight="1">
      <c r="A4" s="79" t="s">
        <v>41</v>
      </c>
      <c r="B4" s="80"/>
      <c r="C4" s="80"/>
      <c r="D4" s="81"/>
      <c r="E4" s="13" t="s">
        <v>42</v>
      </c>
      <c r="F4" s="13"/>
      <c r="G4" s="13"/>
      <c r="H4" s="13"/>
      <c r="I4" s="13"/>
      <c r="J4" s="6" t="s">
        <v>32</v>
      </c>
      <c r="K4" s="82" t="s">
        <v>42</v>
      </c>
      <c r="L4" s="83"/>
    </row>
    <row r="5" spans="1:12" ht="11.25" customHeight="1">
      <c r="A5" s="6" t="s">
        <v>26</v>
      </c>
      <c r="B5" s="6"/>
      <c r="C5" s="6"/>
      <c r="D5" s="6"/>
      <c r="E5" s="84" t="s">
        <v>107</v>
      </c>
      <c r="F5" s="85"/>
      <c r="G5" s="85"/>
      <c r="H5" s="85"/>
      <c r="I5" s="86"/>
      <c r="J5" s="4" t="s">
        <v>43</v>
      </c>
      <c r="K5" s="82" t="s">
        <v>139</v>
      </c>
      <c r="L5" s="83"/>
    </row>
    <row r="6" spans="1:12">
      <c r="A6" s="3"/>
      <c r="B6" s="3"/>
      <c r="C6" s="3"/>
      <c r="D6" s="3"/>
      <c r="E6" s="3"/>
      <c r="F6" s="3"/>
      <c r="G6" s="3"/>
      <c r="H6" s="3"/>
      <c r="I6" s="3"/>
      <c r="J6" s="3"/>
      <c r="K6" s="3"/>
      <c r="L6" s="3"/>
    </row>
    <row r="7" spans="1:12">
      <c r="A7" s="79" t="s">
        <v>44</v>
      </c>
      <c r="B7" s="80"/>
      <c r="C7" s="80"/>
      <c r="D7" s="80"/>
      <c r="E7" s="80"/>
      <c r="F7" s="81"/>
      <c r="G7" s="79" t="s">
        <v>16</v>
      </c>
      <c r="H7" s="80"/>
      <c r="I7" s="80"/>
      <c r="J7" s="80"/>
      <c r="K7" s="80"/>
      <c r="L7" s="81"/>
    </row>
    <row r="8" spans="1:12">
      <c r="A8" s="4" t="s">
        <v>54</v>
      </c>
      <c r="B8" s="5">
        <v>4</v>
      </c>
      <c r="C8" s="4" t="s">
        <v>45</v>
      </c>
      <c r="D8" s="5">
        <v>3</v>
      </c>
      <c r="E8" s="4" t="s">
        <v>66</v>
      </c>
      <c r="F8" s="5">
        <v>11</v>
      </c>
      <c r="G8" s="4" t="s">
        <v>105</v>
      </c>
      <c r="H8" s="5">
        <v>3</v>
      </c>
      <c r="I8" s="4" t="s">
        <v>37</v>
      </c>
      <c r="J8" s="5">
        <v>11</v>
      </c>
      <c r="K8" s="6" t="s">
        <v>70</v>
      </c>
      <c r="L8" s="5">
        <v>14</v>
      </c>
    </row>
    <row r="9" spans="1:12" ht="11.25" customHeight="1">
      <c r="A9" s="79" t="s">
        <v>62</v>
      </c>
      <c r="B9" s="80"/>
      <c r="C9" s="80"/>
      <c r="D9" s="80"/>
      <c r="E9" s="80"/>
      <c r="F9" s="81"/>
      <c r="G9" s="79" t="s">
        <v>65</v>
      </c>
      <c r="H9" s="80"/>
      <c r="I9" s="80"/>
      <c r="J9" s="80"/>
      <c r="K9" s="80"/>
      <c r="L9" s="81"/>
    </row>
    <row r="10" spans="1:12">
      <c r="A10" s="4" t="s">
        <v>46</v>
      </c>
      <c r="B10" s="5">
        <v>3</v>
      </c>
      <c r="C10" s="4" t="s">
        <v>55</v>
      </c>
      <c r="D10" s="5">
        <v>3</v>
      </c>
      <c r="E10" s="4" t="s">
        <v>60</v>
      </c>
      <c r="F10" s="5">
        <v>0</v>
      </c>
      <c r="G10" s="4" t="s">
        <v>47</v>
      </c>
      <c r="H10" s="7">
        <v>7</v>
      </c>
      <c r="I10" s="4" t="s">
        <v>56</v>
      </c>
      <c r="J10" s="7">
        <v>3</v>
      </c>
      <c r="K10" s="6" t="s">
        <v>70</v>
      </c>
      <c r="L10" s="7">
        <v>10</v>
      </c>
    </row>
    <row r="11" spans="1:12">
      <c r="D11" s="15"/>
    </row>
    <row r="12" spans="1:12">
      <c r="A12" s="3" t="s">
        <v>20</v>
      </c>
      <c r="B12" s="3"/>
      <c r="C12" s="3"/>
      <c r="D12" s="3"/>
      <c r="E12" s="3"/>
      <c r="F12" s="3"/>
      <c r="G12" s="3"/>
      <c r="H12" s="3"/>
      <c r="I12" s="3"/>
      <c r="J12" s="3"/>
      <c r="K12" s="3"/>
      <c r="L12" s="3"/>
    </row>
    <row r="13" spans="1:12">
      <c r="A13" s="23" t="s">
        <v>64</v>
      </c>
      <c r="B13" s="23" t="s">
        <v>21</v>
      </c>
      <c r="C13" s="23" t="s">
        <v>22</v>
      </c>
      <c r="D13" s="23" t="s">
        <v>9</v>
      </c>
      <c r="E13" s="23" t="s">
        <v>18</v>
      </c>
      <c r="F13" s="23" t="s">
        <v>23</v>
      </c>
      <c r="G13" s="23" t="s">
        <v>8</v>
      </c>
      <c r="H13" s="23" t="s">
        <v>49</v>
      </c>
      <c r="I13" s="23" t="s">
        <v>17</v>
      </c>
      <c r="J13" s="23" t="s">
        <v>4</v>
      </c>
      <c r="K13" s="23" t="s">
        <v>50</v>
      </c>
      <c r="L13" s="23" t="s">
        <v>51</v>
      </c>
    </row>
    <row r="14" spans="1:12" ht="69.95" customHeight="1">
      <c r="A14" s="63" t="s">
        <v>198</v>
      </c>
      <c r="B14" s="63" t="s">
        <v>126</v>
      </c>
      <c r="C14" s="63" t="s">
        <v>199</v>
      </c>
      <c r="D14" s="63"/>
      <c r="E14" s="63" t="s">
        <v>122</v>
      </c>
      <c r="F14" s="63" t="s">
        <v>180</v>
      </c>
      <c r="G14" s="62" t="s">
        <v>121</v>
      </c>
      <c r="H14" s="62" t="s">
        <v>131</v>
      </c>
      <c r="I14" s="70" t="s">
        <v>123</v>
      </c>
      <c r="J14" s="62" t="s">
        <v>205</v>
      </c>
      <c r="K14" s="62" t="s">
        <v>200</v>
      </c>
      <c r="L14" s="72"/>
    </row>
    <row r="15" spans="1:12" ht="90" customHeight="1">
      <c r="A15" s="63" t="s">
        <v>207</v>
      </c>
      <c r="B15" s="63" t="s">
        <v>209</v>
      </c>
      <c r="C15" s="63" t="s">
        <v>208</v>
      </c>
      <c r="D15" s="63"/>
      <c r="E15" s="63" t="s">
        <v>144</v>
      </c>
      <c r="F15" s="63" t="s">
        <v>210</v>
      </c>
      <c r="G15" s="62" t="s">
        <v>146</v>
      </c>
      <c r="H15" s="62" t="s">
        <v>211</v>
      </c>
      <c r="I15" s="70" t="s">
        <v>123</v>
      </c>
      <c r="J15" s="62" t="s">
        <v>213</v>
      </c>
      <c r="K15" s="62" t="s">
        <v>212</v>
      </c>
      <c r="L15" s="72"/>
    </row>
    <row r="16" spans="1:12" ht="69.95" customHeight="1">
      <c r="A16" s="67" t="s">
        <v>201</v>
      </c>
      <c r="B16" s="67" t="s">
        <v>127</v>
      </c>
      <c r="C16" s="67" t="s">
        <v>202</v>
      </c>
      <c r="D16" s="67"/>
      <c r="E16" s="67" t="s">
        <v>122</v>
      </c>
      <c r="F16" s="67" t="s">
        <v>203</v>
      </c>
      <c r="G16" s="73" t="s">
        <v>121</v>
      </c>
      <c r="H16" s="73" t="s">
        <v>131</v>
      </c>
      <c r="I16" s="70" t="s">
        <v>123</v>
      </c>
      <c r="J16" s="62" t="s">
        <v>205</v>
      </c>
      <c r="K16" s="69" t="s">
        <v>204</v>
      </c>
      <c r="L16" s="72"/>
    </row>
    <row r="17" spans="1:13" ht="69.95" customHeight="1">
      <c r="A17" s="67" t="s">
        <v>215</v>
      </c>
      <c r="B17" s="67" t="s">
        <v>214</v>
      </c>
      <c r="C17" s="67" t="s">
        <v>216</v>
      </c>
      <c r="D17" s="67"/>
      <c r="E17" s="67" t="s">
        <v>137</v>
      </c>
      <c r="F17" s="67" t="s">
        <v>217</v>
      </c>
      <c r="G17" s="73" t="s">
        <v>146</v>
      </c>
      <c r="H17" s="73" t="s">
        <v>131</v>
      </c>
      <c r="I17" s="70" t="s">
        <v>118</v>
      </c>
      <c r="J17" s="62" t="s">
        <v>218</v>
      </c>
      <c r="K17" s="69" t="s">
        <v>219</v>
      </c>
      <c r="L17" s="69"/>
    </row>
    <row r="18" spans="1:13">
      <c r="B18" s="22"/>
      <c r="C18" s="37"/>
      <c r="E18" s="37"/>
      <c r="F18" s="1"/>
      <c r="G18" s="22"/>
      <c r="H18" s="16"/>
      <c r="L18" s="8"/>
    </row>
    <row r="19" spans="1:13" ht="11.25" customHeight="1">
      <c r="A19" s="11" t="s">
        <v>53</v>
      </c>
      <c r="M19" s="17"/>
    </row>
    <row r="20" spans="1:13">
      <c r="A20" s="23" t="s">
        <v>11</v>
      </c>
      <c r="B20" s="23" t="s">
        <v>27</v>
      </c>
      <c r="C20" s="23" t="s">
        <v>12</v>
      </c>
      <c r="D20" s="23" t="s">
        <v>9</v>
      </c>
      <c r="E20" s="23" t="s">
        <v>33</v>
      </c>
      <c r="F20" s="23" t="s">
        <v>23</v>
      </c>
      <c r="G20" s="23" t="s">
        <v>38</v>
      </c>
      <c r="H20" s="23" t="s">
        <v>10</v>
      </c>
      <c r="I20" s="23" t="s">
        <v>17</v>
      </c>
      <c r="J20" s="23" t="s">
        <v>4</v>
      </c>
      <c r="K20" s="23" t="s">
        <v>35</v>
      </c>
      <c r="L20" s="23" t="s">
        <v>28</v>
      </c>
      <c r="M20" s="23" t="s">
        <v>0</v>
      </c>
    </row>
    <row r="21" spans="1:13" ht="159.94999999999999" customHeight="1">
      <c r="A21" s="63" t="s">
        <v>177</v>
      </c>
      <c r="B21" s="63" t="s">
        <v>178</v>
      </c>
      <c r="C21" s="63" t="s">
        <v>179</v>
      </c>
      <c r="D21" s="63"/>
      <c r="E21" s="63" t="s">
        <v>122</v>
      </c>
      <c r="F21" s="63" t="s">
        <v>180</v>
      </c>
      <c r="G21" s="62" t="s">
        <v>121</v>
      </c>
      <c r="H21" s="62" t="s">
        <v>131</v>
      </c>
      <c r="I21" s="71" t="s">
        <v>82</v>
      </c>
      <c r="J21" s="62" t="s">
        <v>125</v>
      </c>
      <c r="K21" s="62" t="s">
        <v>181</v>
      </c>
      <c r="L21" s="69" t="s">
        <v>182</v>
      </c>
      <c r="M21" s="63" t="s">
        <v>183</v>
      </c>
    </row>
    <row r="22" spans="1:13" ht="50.1" customHeight="1">
      <c r="A22" s="67" t="s">
        <v>184</v>
      </c>
      <c r="B22" s="67" t="s">
        <v>185</v>
      </c>
      <c r="C22" s="68" t="s">
        <v>186</v>
      </c>
      <c r="D22" s="68"/>
      <c r="E22" s="68" t="s">
        <v>120</v>
      </c>
      <c r="F22" s="68" t="s">
        <v>124</v>
      </c>
      <c r="G22" s="69" t="s">
        <v>121</v>
      </c>
      <c r="H22" s="69" t="s">
        <v>128</v>
      </c>
      <c r="I22" s="70" t="s">
        <v>129</v>
      </c>
      <c r="J22" s="69" t="s">
        <v>187</v>
      </c>
      <c r="K22" s="69" t="s">
        <v>130</v>
      </c>
      <c r="L22" s="69" t="s">
        <v>188</v>
      </c>
      <c r="M22" s="63" t="s">
        <v>189</v>
      </c>
    </row>
    <row r="23" spans="1:13" ht="50.1" customHeight="1">
      <c r="A23" s="67" t="s">
        <v>190</v>
      </c>
      <c r="B23" s="67" t="s">
        <v>191</v>
      </c>
      <c r="C23" s="68" t="s">
        <v>192</v>
      </c>
      <c r="D23" s="68"/>
      <c r="E23" s="68" t="s">
        <v>120</v>
      </c>
      <c r="F23" s="68" t="s">
        <v>193</v>
      </c>
      <c r="G23" s="69" t="s">
        <v>121</v>
      </c>
      <c r="H23" s="69" t="s">
        <v>206</v>
      </c>
      <c r="I23" s="71" t="s">
        <v>171</v>
      </c>
      <c r="J23" s="69" t="s">
        <v>194</v>
      </c>
      <c r="K23" s="69" t="s">
        <v>195</v>
      </c>
      <c r="L23" s="69" t="s">
        <v>197</v>
      </c>
      <c r="M23" s="63" t="s">
        <v>196</v>
      </c>
    </row>
    <row r="24" spans="1:13" ht="11.25" customHeight="1">
      <c r="A24" s="46"/>
      <c r="B24" s="46"/>
      <c r="C24" s="46"/>
      <c r="D24" s="46"/>
      <c r="E24" s="46"/>
      <c r="F24" s="46"/>
      <c r="G24" s="45"/>
      <c r="H24" s="45"/>
      <c r="I24" s="47"/>
      <c r="J24" s="45"/>
      <c r="K24" s="45"/>
      <c r="L24" s="48"/>
      <c r="M24" s="46"/>
    </row>
    <row r="25" spans="1:13" ht="11.25" customHeight="1">
      <c r="A25" s="11" t="s">
        <v>6</v>
      </c>
      <c r="I25" s="11" t="s">
        <v>36</v>
      </c>
      <c r="K25" s="18"/>
      <c r="L25" s="18"/>
    </row>
    <row r="26" spans="1:13" ht="11.25" customHeight="1">
      <c r="A26" s="23" t="s">
        <v>61</v>
      </c>
      <c r="B26" s="23" t="s">
        <v>21</v>
      </c>
      <c r="C26" s="23" t="s">
        <v>22</v>
      </c>
      <c r="D26" s="23" t="s">
        <v>13</v>
      </c>
      <c r="E26" s="23" t="s">
        <v>69</v>
      </c>
      <c r="F26" s="23" t="s">
        <v>15</v>
      </c>
      <c r="G26" s="23" t="s">
        <v>40</v>
      </c>
      <c r="H26" s="23" t="s">
        <v>39</v>
      </c>
      <c r="I26" s="23" t="s">
        <v>17</v>
      </c>
      <c r="J26" s="23" t="s">
        <v>4</v>
      </c>
      <c r="K26" s="23" t="s">
        <v>30</v>
      </c>
      <c r="L26" s="23" t="s">
        <v>1</v>
      </c>
      <c r="M26" s="19"/>
    </row>
    <row r="27" spans="1:13" ht="80.099999999999994" customHeight="1">
      <c r="A27" s="67" t="s">
        <v>141</v>
      </c>
      <c r="B27" s="67" t="s">
        <v>143</v>
      </c>
      <c r="C27" s="68" t="s">
        <v>142</v>
      </c>
      <c r="D27" s="68"/>
      <c r="E27" s="68" t="s">
        <v>144</v>
      </c>
      <c r="F27" s="68" t="s">
        <v>145</v>
      </c>
      <c r="G27" s="69" t="s">
        <v>146</v>
      </c>
      <c r="H27" s="69" t="s">
        <v>147</v>
      </c>
      <c r="I27" s="70" t="s">
        <v>118</v>
      </c>
      <c r="J27" s="69" t="s">
        <v>220</v>
      </c>
      <c r="K27" s="69" t="s">
        <v>221</v>
      </c>
      <c r="L27" s="71" t="s">
        <v>119</v>
      </c>
      <c r="M27" s="19"/>
    </row>
    <row r="28" spans="1:13" ht="150" customHeight="1">
      <c r="A28" s="67" t="s">
        <v>148</v>
      </c>
      <c r="B28" s="11">
        <v>806</v>
      </c>
      <c r="C28" s="68" t="s">
        <v>150</v>
      </c>
      <c r="D28" s="70"/>
      <c r="E28" s="68" t="s">
        <v>120</v>
      </c>
      <c r="F28" s="68" t="s">
        <v>149</v>
      </c>
      <c r="G28" s="70" t="s">
        <v>146</v>
      </c>
      <c r="H28" s="69" t="s">
        <v>151</v>
      </c>
      <c r="I28" s="70" t="s">
        <v>129</v>
      </c>
      <c r="J28" s="69" t="s">
        <v>226</v>
      </c>
      <c r="K28" s="69" t="s">
        <v>227</v>
      </c>
      <c r="L28" s="71" t="s">
        <v>119</v>
      </c>
      <c r="M28" s="19"/>
    </row>
    <row r="29" spans="1:13" ht="270" customHeight="1">
      <c r="A29" s="67" t="s">
        <v>152</v>
      </c>
      <c r="B29" s="67" t="s">
        <v>154</v>
      </c>
      <c r="C29" s="68" t="s">
        <v>153</v>
      </c>
      <c r="D29" s="68"/>
      <c r="E29" s="68" t="s">
        <v>144</v>
      </c>
      <c r="F29" s="68" t="s">
        <v>155</v>
      </c>
      <c r="G29" s="69" t="s">
        <v>146</v>
      </c>
      <c r="H29" s="69" t="s">
        <v>156</v>
      </c>
      <c r="I29" s="70" t="s">
        <v>123</v>
      </c>
      <c r="J29" s="69" t="s">
        <v>222</v>
      </c>
      <c r="K29" s="69" t="s">
        <v>223</v>
      </c>
      <c r="L29" s="71" t="s">
        <v>119</v>
      </c>
      <c r="M29" s="19"/>
    </row>
    <row r="30" spans="1:13" ht="50.1" customHeight="1">
      <c r="A30" s="67" t="s">
        <v>157</v>
      </c>
      <c r="B30" s="67" t="s">
        <v>158</v>
      </c>
      <c r="C30" s="68" t="s">
        <v>159</v>
      </c>
      <c r="D30" s="68"/>
      <c r="E30" s="68" t="s">
        <v>144</v>
      </c>
      <c r="F30" s="68" t="s">
        <v>160</v>
      </c>
      <c r="G30" s="69" t="s">
        <v>161</v>
      </c>
      <c r="H30" s="69" t="s">
        <v>162</v>
      </c>
      <c r="I30" s="70" t="s">
        <v>166</v>
      </c>
      <c r="J30" s="69" t="s">
        <v>163</v>
      </c>
      <c r="K30" s="69" t="s">
        <v>165</v>
      </c>
      <c r="L30" s="71" t="s">
        <v>117</v>
      </c>
      <c r="M30" s="19"/>
    </row>
    <row r="31" spans="1:13" ht="50.1" customHeight="1">
      <c r="A31" s="67" t="s">
        <v>167</v>
      </c>
      <c r="B31" s="67" t="s">
        <v>158</v>
      </c>
      <c r="C31" s="68" t="s">
        <v>168</v>
      </c>
      <c r="D31" s="68"/>
      <c r="E31" s="68" t="s">
        <v>144</v>
      </c>
      <c r="F31" s="68" t="s">
        <v>169</v>
      </c>
      <c r="G31" s="69" t="s">
        <v>146</v>
      </c>
      <c r="H31" s="69" t="s">
        <v>170</v>
      </c>
      <c r="I31" s="70" t="s">
        <v>171</v>
      </c>
      <c r="J31" s="69" t="s">
        <v>172</v>
      </c>
      <c r="K31" s="69" t="s">
        <v>165</v>
      </c>
      <c r="L31" s="71" t="s">
        <v>117</v>
      </c>
      <c r="M31" s="19"/>
    </row>
    <row r="32" spans="1:13" ht="50.1" customHeight="1">
      <c r="A32" s="67" t="s">
        <v>173</v>
      </c>
      <c r="B32" s="67" t="s">
        <v>158</v>
      </c>
      <c r="C32" s="68" t="s">
        <v>174</v>
      </c>
      <c r="D32" s="68"/>
      <c r="E32" s="68" t="s">
        <v>137</v>
      </c>
      <c r="F32" s="68" t="s">
        <v>175</v>
      </c>
      <c r="G32" s="69" t="s">
        <v>146</v>
      </c>
      <c r="H32" s="69" t="s">
        <v>170</v>
      </c>
      <c r="I32" s="70" t="s">
        <v>123</v>
      </c>
      <c r="J32" s="69" t="s">
        <v>176</v>
      </c>
      <c r="K32" s="69" t="s">
        <v>164</v>
      </c>
      <c r="L32" s="71" t="s">
        <v>117</v>
      </c>
      <c r="M32" s="19"/>
    </row>
    <row r="33" spans="1:13" ht="12" customHeight="1">
      <c r="A33" s="53"/>
      <c r="B33" s="53"/>
      <c r="C33" s="53"/>
      <c r="D33" s="53"/>
      <c r="E33" s="53"/>
      <c r="F33" s="53"/>
      <c r="G33" s="54"/>
      <c r="H33" s="54"/>
      <c r="I33" s="55"/>
      <c r="J33" s="54"/>
      <c r="K33" s="54"/>
      <c r="L33" s="56"/>
      <c r="M33" s="19"/>
    </row>
    <row r="34" spans="1:13" ht="11.25" customHeight="1">
      <c r="A34" s="87" t="s">
        <v>63</v>
      </c>
      <c r="B34" s="87"/>
      <c r="C34" s="87"/>
      <c r="D34" s="51"/>
      <c r="E34" s="51"/>
      <c r="F34" s="51"/>
      <c r="G34" s="51"/>
      <c r="H34" s="51"/>
      <c r="I34" s="51"/>
      <c r="J34" s="51"/>
      <c r="K34" s="51" t="s">
        <v>29</v>
      </c>
    </row>
    <row r="35" spans="1:13" ht="11.25" customHeight="1">
      <c r="A35" s="23" t="s">
        <v>2</v>
      </c>
      <c r="B35" s="23" t="s">
        <v>21</v>
      </c>
      <c r="C35" s="23" t="s">
        <v>22</v>
      </c>
      <c r="D35" s="24"/>
      <c r="E35" s="23" t="s">
        <v>14</v>
      </c>
      <c r="F35" s="23" t="s">
        <v>23</v>
      </c>
      <c r="G35" s="23" t="s">
        <v>8</v>
      </c>
      <c r="H35" s="23" t="s">
        <v>31</v>
      </c>
      <c r="I35" s="23" t="s">
        <v>3</v>
      </c>
      <c r="J35" s="23" t="s">
        <v>68</v>
      </c>
      <c r="K35" s="23" t="s">
        <v>30</v>
      </c>
      <c r="L35" s="23" t="s">
        <v>7</v>
      </c>
      <c r="M35" s="11" t="s">
        <v>67</v>
      </c>
    </row>
    <row r="36" spans="1:13" ht="11.25" customHeight="1">
      <c r="A36" s="25"/>
      <c r="B36" s="25"/>
      <c r="C36" s="36"/>
      <c r="E36" s="25"/>
      <c r="F36" s="25"/>
      <c r="G36" s="25"/>
      <c r="I36" s="50"/>
      <c r="J36" s="25"/>
      <c r="K36" s="25"/>
      <c r="L36" s="26"/>
    </row>
    <row r="37" spans="1:13" ht="11.25" customHeight="1">
      <c r="A37" s="77" t="s">
        <v>71</v>
      </c>
      <c r="B37" s="77"/>
      <c r="C37" s="22"/>
      <c r="D37" s="22"/>
      <c r="E37" s="22"/>
      <c r="F37" s="22"/>
      <c r="G37" s="22"/>
      <c r="H37" s="22"/>
      <c r="I37" s="22"/>
      <c r="J37" s="22"/>
      <c r="K37" s="22"/>
      <c r="L37" s="22"/>
    </row>
    <row r="38" spans="1:13" ht="11.25" customHeight="1">
      <c r="A38" s="23" t="s">
        <v>11</v>
      </c>
      <c r="C38" s="23" t="s">
        <v>22</v>
      </c>
      <c r="D38" s="24"/>
      <c r="E38" s="23" t="s">
        <v>18</v>
      </c>
      <c r="F38" s="23" t="s">
        <v>23</v>
      </c>
      <c r="G38" s="24"/>
      <c r="H38" s="23" t="s">
        <v>10</v>
      </c>
      <c r="I38" s="23" t="s">
        <v>3</v>
      </c>
      <c r="J38" s="23" t="s">
        <v>4</v>
      </c>
      <c r="K38" s="23" t="s">
        <v>5</v>
      </c>
      <c r="L38" s="23" t="s">
        <v>7</v>
      </c>
    </row>
    <row r="39" spans="1:13" ht="39.950000000000003" customHeight="1">
      <c r="A39" s="63" t="s">
        <v>135</v>
      </c>
      <c r="B39" s="22"/>
      <c r="C39" s="63" t="s">
        <v>136</v>
      </c>
      <c r="D39" s="64"/>
      <c r="E39" s="63" t="s">
        <v>137</v>
      </c>
      <c r="F39" s="63" t="s">
        <v>138</v>
      </c>
      <c r="G39" s="55"/>
      <c r="H39" s="62" t="s">
        <v>139</v>
      </c>
      <c r="I39" s="66" t="s">
        <v>129</v>
      </c>
      <c r="J39" s="62" t="s">
        <v>225</v>
      </c>
      <c r="K39" s="62" t="s">
        <v>140</v>
      </c>
      <c r="L39" s="65" t="s">
        <v>117</v>
      </c>
    </row>
    <row r="40" spans="1:13" ht="10.5" customHeight="1">
      <c r="A40" s="52"/>
      <c r="B40" s="44"/>
      <c r="C40" s="52"/>
      <c r="D40" s="44"/>
      <c r="E40" s="52"/>
      <c r="F40" s="52"/>
      <c r="G40" s="44"/>
      <c r="H40" s="57"/>
      <c r="I40" s="58"/>
      <c r="J40" s="57"/>
      <c r="K40" s="59"/>
      <c r="L40" s="59"/>
    </row>
    <row r="41" spans="1:13" ht="11.25" customHeight="1">
      <c r="A41" s="30" t="s">
        <v>9</v>
      </c>
      <c r="B41" s="31"/>
      <c r="C41" s="31"/>
      <c r="D41" s="31"/>
      <c r="E41" s="31"/>
      <c r="F41" s="31"/>
      <c r="G41" s="31"/>
      <c r="H41" s="31"/>
      <c r="I41" s="31"/>
      <c r="J41" s="31"/>
      <c r="K41" s="31"/>
      <c r="L41" s="32"/>
    </row>
    <row r="42" spans="1:13" ht="11.25" customHeight="1">
      <c r="A42" s="2" t="s">
        <v>59</v>
      </c>
      <c r="B42" s="74" t="s">
        <v>132</v>
      </c>
      <c r="C42" s="75"/>
      <c r="D42" s="75"/>
      <c r="E42" s="75"/>
      <c r="F42" s="75"/>
      <c r="G42" s="75"/>
      <c r="H42" s="75"/>
      <c r="I42" s="75"/>
      <c r="J42" s="75"/>
      <c r="K42" s="75"/>
      <c r="L42" s="76"/>
    </row>
    <row r="43" spans="1:13" ht="12.75" customHeight="1">
      <c r="A43" s="2" t="s">
        <v>58</v>
      </c>
      <c r="B43" s="74" t="s">
        <v>133</v>
      </c>
      <c r="C43" s="75"/>
      <c r="D43" s="75"/>
      <c r="E43" s="75"/>
      <c r="F43" s="75"/>
      <c r="G43" s="75"/>
      <c r="H43" s="75"/>
      <c r="I43" s="75"/>
      <c r="J43" s="75"/>
      <c r="K43" s="75"/>
      <c r="L43" s="76"/>
    </row>
    <row r="44" spans="1:13" ht="11.25" customHeight="1">
      <c r="A44" s="20" t="s">
        <v>57</v>
      </c>
      <c r="B44" s="74" t="s">
        <v>134</v>
      </c>
      <c r="C44" s="75"/>
      <c r="D44" s="75"/>
      <c r="E44" s="75"/>
      <c r="F44" s="75"/>
      <c r="G44" s="75"/>
      <c r="H44" s="75"/>
      <c r="I44" s="75"/>
      <c r="J44" s="75"/>
      <c r="K44" s="75"/>
      <c r="L44" s="76"/>
    </row>
    <row r="45" spans="1:13" ht="11.25" customHeight="1">
      <c r="A45" s="60"/>
      <c r="B45" s="61"/>
      <c r="C45" s="61"/>
      <c r="D45" s="61"/>
      <c r="E45" s="61"/>
      <c r="F45" s="61"/>
      <c r="G45" s="61"/>
      <c r="H45" s="61"/>
      <c r="I45" s="61"/>
      <c r="J45" s="61"/>
      <c r="K45" s="61"/>
      <c r="L45" s="61"/>
      <c r="M45" s="44"/>
    </row>
    <row r="46" spans="1:13" ht="11.25" customHeight="1">
      <c r="A46" s="30" t="s">
        <v>24</v>
      </c>
      <c r="B46" s="31"/>
      <c r="C46" s="31"/>
      <c r="D46" s="31"/>
      <c r="E46" s="31"/>
      <c r="F46" s="31"/>
      <c r="G46" s="31"/>
      <c r="H46" s="31"/>
      <c r="I46" s="31"/>
      <c r="J46" s="31"/>
      <c r="K46" s="31"/>
      <c r="L46" s="32"/>
    </row>
    <row r="47" spans="1:13" ht="11.25" customHeight="1">
      <c r="A47" s="23" t="s">
        <v>25</v>
      </c>
      <c r="B47" s="33"/>
      <c r="C47" s="34"/>
      <c r="D47" s="34"/>
      <c r="E47" s="34"/>
      <c r="F47" s="34"/>
      <c r="G47" s="34"/>
      <c r="H47" s="34"/>
      <c r="I47" s="34"/>
      <c r="J47" s="34"/>
      <c r="K47" s="34"/>
      <c r="L47" s="35"/>
    </row>
    <row r="48" spans="1:13" ht="11.25" customHeight="1">
      <c r="A48" s="2" t="s">
        <v>34</v>
      </c>
      <c r="B48" s="27"/>
      <c r="C48" s="28"/>
      <c r="D48" s="28"/>
      <c r="E48" s="28"/>
      <c r="F48" s="28"/>
      <c r="G48" s="28"/>
      <c r="H48" s="28"/>
      <c r="I48" s="28"/>
      <c r="J48" s="28"/>
      <c r="K48" s="28"/>
      <c r="L48" s="29"/>
    </row>
    <row r="49" spans="1:14" ht="11.25" customHeight="1"/>
    <row r="50" spans="1:14" ht="11.25" customHeight="1"/>
    <row r="51" spans="1:14" ht="11.25" customHeight="1"/>
    <row r="52" spans="1:14" ht="11.25" customHeight="1"/>
    <row r="53" spans="1:14" ht="11.25" customHeight="1"/>
    <row r="54" spans="1:14" ht="11.25" customHeight="1"/>
    <row r="55" spans="1:14" ht="11.25" customHeight="1"/>
    <row r="56" spans="1:14" ht="11.25" customHeight="1"/>
    <row r="57" spans="1:14" ht="11.25" customHeight="1"/>
    <row r="58" spans="1:14" s="14" customFormat="1" ht="11.25" customHeight="1">
      <c r="A58" s="11"/>
      <c r="B58" s="11"/>
      <c r="C58" s="11"/>
      <c r="D58" s="11"/>
      <c r="E58" s="11"/>
      <c r="F58" s="11"/>
      <c r="G58" s="11"/>
      <c r="H58" s="11"/>
      <c r="I58" s="11"/>
      <c r="J58" s="11"/>
      <c r="K58" s="11"/>
      <c r="L58" s="11"/>
      <c r="M58" s="11"/>
      <c r="N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s="19" customFormat="1" ht="11.25" customHeight="1">
      <c r="A63" s="11"/>
      <c r="B63" s="11"/>
      <c r="C63" s="11"/>
      <c r="D63" s="11"/>
      <c r="E63" s="11"/>
      <c r="F63" s="11"/>
      <c r="G63" s="11"/>
      <c r="H63" s="11"/>
      <c r="I63" s="11"/>
      <c r="J63" s="11"/>
      <c r="K63" s="11"/>
      <c r="L63" s="11"/>
      <c r="M63" s="11"/>
    </row>
    <row r="64" spans="1:14" s="19" customFormat="1" ht="11.25" customHeight="1">
      <c r="A64" s="11"/>
      <c r="B64" s="11"/>
      <c r="C64" s="11"/>
      <c r="D64" s="11"/>
      <c r="E64" s="11"/>
      <c r="F64" s="11"/>
      <c r="G64" s="11"/>
      <c r="H64" s="11"/>
      <c r="I64" s="11"/>
      <c r="J64" s="11"/>
      <c r="K64" s="11"/>
      <c r="L64" s="11"/>
      <c r="M64" s="11"/>
    </row>
    <row r="65" spans="1:13" s="19" customFormat="1" ht="11.25" customHeight="1">
      <c r="A65" s="11"/>
      <c r="B65" s="11"/>
      <c r="C65" s="11"/>
      <c r="D65" s="11"/>
      <c r="E65" s="11"/>
      <c r="F65" s="11"/>
      <c r="G65" s="11"/>
      <c r="H65" s="11"/>
      <c r="I65" s="11"/>
      <c r="J65" s="11"/>
      <c r="K65" s="11"/>
      <c r="L65" s="11"/>
      <c r="M65" s="11"/>
    </row>
    <row r="66" spans="1:13" s="19" customFormat="1" ht="11.25" customHeight="1">
      <c r="A66" s="11"/>
      <c r="B66" s="11"/>
      <c r="C66" s="11"/>
      <c r="D66" s="11"/>
      <c r="E66" s="11"/>
      <c r="F66" s="11"/>
      <c r="G66" s="11"/>
      <c r="H66" s="11"/>
      <c r="I66" s="11"/>
      <c r="J66" s="11"/>
      <c r="K66" s="11"/>
      <c r="L66" s="11"/>
      <c r="M66" s="11"/>
    </row>
    <row r="67" spans="1:13" s="19" customFormat="1" ht="11.25" customHeight="1">
      <c r="A67" s="11"/>
      <c r="B67" s="11"/>
      <c r="C67" s="11"/>
      <c r="D67" s="11"/>
      <c r="E67" s="11"/>
      <c r="F67" s="11"/>
      <c r="G67" s="11"/>
      <c r="H67" s="11"/>
      <c r="I67" s="11"/>
      <c r="J67" s="11"/>
      <c r="K67" s="11"/>
      <c r="L67" s="11"/>
      <c r="M67" s="11"/>
    </row>
    <row r="68" spans="1:13" ht="11.25" customHeight="1"/>
    <row r="69" spans="1:13" ht="10.5" customHeight="1"/>
    <row r="70" spans="1:13" s="19" customFormat="1">
      <c r="A70" s="11"/>
      <c r="B70" s="11"/>
      <c r="C70" s="11"/>
      <c r="D70" s="11"/>
      <c r="E70" s="11"/>
      <c r="F70" s="11"/>
      <c r="G70" s="11"/>
      <c r="H70" s="11"/>
      <c r="I70" s="11"/>
      <c r="J70" s="11"/>
      <c r="K70" s="11"/>
      <c r="L70" s="11"/>
      <c r="M70" s="11"/>
    </row>
    <row r="71" spans="1:13" ht="11.25" customHeight="1"/>
    <row r="72" spans="1:13" ht="11.25" customHeight="1"/>
    <row r="73" spans="1:13" ht="11.25" customHeight="1"/>
    <row r="74" spans="1:13" ht="11.25" customHeight="1"/>
    <row r="77" spans="1:13" ht="11.25" customHeight="1"/>
    <row r="78" spans="1:13" s="21" customFormat="1">
      <c r="A78" s="11"/>
      <c r="B78" s="11"/>
      <c r="C78" s="11"/>
      <c r="D78" s="11"/>
      <c r="E78" s="11"/>
      <c r="F78" s="11"/>
      <c r="G78" s="11"/>
      <c r="H78" s="11"/>
      <c r="I78" s="11"/>
      <c r="J78" s="11"/>
      <c r="K78" s="11"/>
      <c r="L78" s="11"/>
      <c r="M78" s="11"/>
    </row>
    <row r="79" spans="1:13" ht="11.25" customHeight="1"/>
    <row r="84" spans="18:18">
      <c r="R84" s="11" t="s">
        <v>52</v>
      </c>
    </row>
  </sheetData>
  <mergeCells count="14">
    <mergeCell ref="B42:L42"/>
    <mergeCell ref="B44:L44"/>
    <mergeCell ref="A37:B37"/>
    <mergeCell ref="C1:K1"/>
    <mergeCell ref="A7:F7"/>
    <mergeCell ref="G7:L7"/>
    <mergeCell ref="A9:F9"/>
    <mergeCell ref="G9:L9"/>
    <mergeCell ref="K4:L4"/>
    <mergeCell ref="K5:L5"/>
    <mergeCell ref="A4:D4"/>
    <mergeCell ref="E5:I5"/>
    <mergeCell ref="A34:C34"/>
    <mergeCell ref="B43:L43"/>
  </mergeCells>
  <phoneticPr fontId="544" type="noConversion"/>
  <dataValidations count="2">
    <dataValidation type="list" allowBlank="1" showInputMessage="1" showErrorMessage="1" sqref="L36 L39" xr:uid="{00000000-0002-0000-0000-000000000000}">
      <formula1>"A. General,B. Spinal,C. Epidural,D. BPB,E. Local"</formula1>
    </dataValidation>
    <dataValidation type="list" allowBlank="1" showInputMessage="1" showErrorMessage="1" sqref="I18"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1" manualBreakCount="1">
    <brk id="18" max="12" man="1"/>
  </rowBreaks>
  <drawing r:id="rId2"/>
  <legacyDrawing r:id="rId3"/>
  <controls>
    <mc:AlternateContent xmlns:mc="http://schemas.openxmlformats.org/markup-compatibility/2006">
      <mc:Choice Requires="x14">
        <control shapeId="3" r:id="rId4" name="ComboBox2">
          <controlPr defaultSize="0" print="0" autoLine="0" r:id="rId5">
            <anchor moveWithCells="1">
              <from>
                <xdr:col>1</xdr:col>
                <xdr:colOff>0</xdr:colOff>
                <xdr:row>1</xdr:row>
                <xdr:rowOff>0</xdr:rowOff>
              </from>
              <to>
                <xdr:col>1</xdr:col>
                <xdr:colOff>9525</xdr:colOff>
                <xdr:row>1</xdr:row>
                <xdr:rowOff>133350</xdr:rowOff>
              </to>
            </anchor>
          </controlPr>
        </control>
      </mc:Choice>
      <mc:Fallback>
        <control shapeId="9243" r:id="rId4" name="ComboBox2"/>
      </mc:Fallback>
    </mc:AlternateContent>
    <mc:AlternateContent xmlns:mc="http://schemas.openxmlformats.org/markup-compatibility/2006">
      <mc:Choice Requires="x14">
        <control shapeId="2" r:id="rId6" name="ComboBox1">
          <controlPr locked="0" defaultSize="0" print="0" autoFill="0" autoLine="0" r:id="rId7">
            <anchor>
              <from>
                <xdr:col>1</xdr:col>
                <xdr:colOff>0</xdr:colOff>
                <xdr:row>1</xdr:row>
                <xdr:rowOff>0</xdr:rowOff>
              </from>
              <to>
                <xdr:col>3</xdr:col>
                <xdr:colOff>0</xdr:colOff>
                <xdr:row>3</xdr:row>
                <xdr:rowOff>0</xdr:rowOff>
              </to>
            </anchor>
          </controlPr>
        </control>
      </mc:Choice>
      <mc:Fallback>
        <control shapeId="9242" r:id="rId6" name="ComboBox1"/>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2000000}">
          <x14:formula1>
            <xm:f>Sheet1!$C$12:$C$22</xm:f>
          </x14:formula1>
          <xm:sqref>I36</xm:sqref>
        </x14:dataValidation>
        <x14:dataValidation type="list" allowBlank="1" showInputMessage="1" showErrorMessage="1" xr:uid="{00000000-0002-0000-0000-000003000000}">
          <x14:formula1>
            <xm:f>'\\172.21.146.65\data\11. 당직일지\[!!!!!성형외과의국일지 기본자료.xlsx]Sheet1'!#REF!</xm:f>
          </x14:formula1>
          <xm:sqref>H36</xm:sqref>
        </x14:dataValidation>
        <x14:dataValidation type="list" allowBlank="1" showInputMessage="1" showErrorMessage="1" xr:uid="{00000000-0002-0000-0000-000004000000}">
          <x14:formula1>
            <xm:f>'\\172.21.146.65\data\11. 당직일지\2025 당직일지\[성형외과의국일지20250903 수 성.xlsx]Sheet1'!#REF!</xm:f>
          </x14:formula1>
          <xm:sqref>I40</xm:sqref>
        </x14:dataValidation>
        <x14:dataValidation type="list" allowBlank="1" showInputMessage="1" showErrorMessage="1" xr:uid="{00000000-0002-0000-0000-000005000000}">
          <x14:formula1>
            <xm:f>Sheet1!$A$1:$A$11</xm:f>
          </x14:formula1>
          <xm:sqref>I39 I29:I32 I24 I27 I14:I17</xm:sqref>
        </x14:dataValidation>
        <x14:dataValidation type="list" allowBlank="1" showInputMessage="1" showErrorMessage="1" xr:uid="{00000000-0002-0000-0000-000006000000}">
          <x14:formula1>
            <xm:f>'\\172.21.146.65\data\11. 당직일지\2025 당직일지\[성형외과의국일지20251027 월 성.xlsx]Sheet1'!#REF!</xm:f>
          </x14:formula1>
          <xm:sqref>I33 L33</xm:sqref>
        </x14:dataValidation>
        <x14:dataValidation type="list" allowBlank="1" showInputMessage="1" showErrorMessage="1" xr:uid="{21E8423F-AFB2-4F5E-8DCB-FE42486E61C5}">
          <x14:formula1>
            <xm:f>Sheet1!$H$1:$H$5</xm:f>
          </x14:formula1>
          <xm:sqref>L27:L32</xm:sqref>
        </x14:dataValidation>
        <x14:dataValidation type="list" allowBlank="1" showInputMessage="1" showErrorMessage="1" xr:uid="{C977B5D3-9D31-4843-BFA3-B8878B6FF942}">
          <x14:formula1>
            <xm:f>'\\172.21.146.65\data\11. 당직일지\2025 당직일지\[성형외과의국일지20251126 수.xlsx]Sheet1'!#REF!</xm:f>
          </x14:formula1>
          <xm:sqref>I28</xm:sqref>
        </x14:dataValidation>
        <x14:dataValidation type="list" allowBlank="1" showInputMessage="1" showErrorMessage="1" xr:uid="{ADDBAEFC-F9DA-417C-A870-10FF1321A566}">
          <x14:formula1>
            <xm:f>'\\172.21.146.65\data\11. 당직일지\2025 당직일지\[성형외과의국일지20251127 목.xlsx]Sheet1'!#REF!</xm:f>
          </x14:formula1>
          <xm:sqref>I22</xm:sqref>
        </x14:dataValidation>
        <x14:dataValidation type="list" allowBlank="1" showInputMessage="1" showErrorMessage="1" xr:uid="{7A327A27-EFD1-4AB8-9CC9-04A8DD3DF305}">
          <x14:formula1>
            <xm:f>'\\172.21.146.65\data\11. 당직일지\2025 당직일지\[성형외과의국일지20251128 금.xlsx]Sheet1'!#REF!</xm:f>
          </x14:formula1>
          <xm:sqref>I23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D19" sqref="D19"/>
    </sheetView>
  </sheetViews>
  <sheetFormatPr defaultRowHeight="12"/>
  <sheetData>
    <row r="1" spans="1:11">
      <c r="A1" t="s">
        <v>72</v>
      </c>
      <c r="E1" t="s">
        <v>83</v>
      </c>
      <c r="F1" s="38"/>
      <c r="H1" t="s">
        <v>85</v>
      </c>
      <c r="J1" t="s">
        <v>84</v>
      </c>
      <c r="K1" s="38"/>
    </row>
    <row r="2" spans="1:11">
      <c r="A2" t="s">
        <v>73</v>
      </c>
      <c r="H2" t="s">
        <v>86</v>
      </c>
    </row>
    <row r="3" spans="1:11">
      <c r="A3" t="s">
        <v>74</v>
      </c>
      <c r="H3" t="s">
        <v>87</v>
      </c>
    </row>
    <row r="4" spans="1:11">
      <c r="A4" t="s">
        <v>75</v>
      </c>
      <c r="H4" t="s">
        <v>88</v>
      </c>
    </row>
    <row r="5" spans="1:11">
      <c r="A5" t="s">
        <v>76</v>
      </c>
      <c r="H5" t="s">
        <v>89</v>
      </c>
    </row>
    <row r="6" spans="1:11">
      <c r="A6" t="s">
        <v>77</v>
      </c>
    </row>
    <row r="7" spans="1:11">
      <c r="A7" t="s">
        <v>78</v>
      </c>
    </row>
    <row r="8" spans="1:11">
      <c r="A8" t="s">
        <v>79</v>
      </c>
    </row>
    <row r="9" spans="1:11">
      <c r="A9" t="s">
        <v>80</v>
      </c>
    </row>
    <row r="10" spans="1:11">
      <c r="A10" t="s">
        <v>81</v>
      </c>
    </row>
    <row r="11" spans="1:11">
      <c r="A11" t="s">
        <v>82</v>
      </c>
    </row>
    <row r="13" spans="1:11">
      <c r="A13" t="s">
        <v>93</v>
      </c>
    </row>
    <row r="15" spans="1:11">
      <c r="B15" t="s">
        <v>94</v>
      </c>
    </row>
    <row r="16" spans="1:11">
      <c r="B16" t="s">
        <v>116</v>
      </c>
    </row>
    <row r="18" spans="1:12">
      <c r="B18" t="s">
        <v>95</v>
      </c>
    </row>
    <row r="20" spans="1:12">
      <c r="B20" t="s">
        <v>98</v>
      </c>
    </row>
    <row r="21" spans="1:12">
      <c r="B21" t="s">
        <v>99</v>
      </c>
    </row>
    <row r="23" spans="1:12">
      <c r="B23" t="s">
        <v>103</v>
      </c>
      <c r="G23" t="s">
        <v>104</v>
      </c>
      <c r="L23" s="43" t="s">
        <v>114</v>
      </c>
    </row>
    <row r="24" spans="1:12" ht="326.25">
      <c r="L24" s="44" t="s">
        <v>115</v>
      </c>
    </row>
    <row r="25" spans="1:12">
      <c r="G25" s="40"/>
    </row>
    <row r="27" spans="1:12">
      <c r="B27" t="s">
        <v>96</v>
      </c>
      <c r="G27" s="41" t="s">
        <v>106</v>
      </c>
    </row>
    <row r="28" spans="1:12">
      <c r="B28" t="s">
        <v>97</v>
      </c>
    </row>
    <row r="29" spans="1:12">
      <c r="L29" t="s">
        <v>111</v>
      </c>
    </row>
    <row r="30" spans="1:12">
      <c r="B30" s="42" t="s">
        <v>110</v>
      </c>
      <c r="L30" t="s">
        <v>112</v>
      </c>
    </row>
    <row r="31" spans="1:12">
      <c r="B31" t="s">
        <v>109</v>
      </c>
      <c r="L31" t="s">
        <v>113</v>
      </c>
    </row>
    <row r="32" spans="1:12">
      <c r="A32" t="s">
        <v>92</v>
      </c>
    </row>
    <row r="33" spans="2:2">
      <c r="B33" t="s">
        <v>90</v>
      </c>
    </row>
    <row r="35" spans="2:2">
      <c r="B35" t="s">
        <v>91</v>
      </c>
    </row>
    <row r="37" spans="2:2">
      <c r="B37" t="s">
        <v>108</v>
      </c>
    </row>
    <row r="41" spans="2:2">
      <c r="B41" s="39" t="s">
        <v>102</v>
      </c>
    </row>
    <row r="42" spans="2:2">
      <c r="B42" t="s">
        <v>101</v>
      </c>
    </row>
    <row r="44" spans="2:2">
      <c r="B44" t="s">
        <v>100</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YUMC</cp:lastModifiedBy>
  <cp:lastPrinted>2025-12-03T10:43:05Z</cp:lastPrinted>
  <dcterms:created xsi:type="dcterms:W3CDTF">2007-08-02T21:04:06Z</dcterms:created>
  <dcterms:modified xsi:type="dcterms:W3CDTF">2025-12-03T10:43:22Z</dcterms:modified>
</cp:coreProperties>
</file>